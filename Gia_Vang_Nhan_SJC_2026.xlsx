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3ddabe620dd66f/Documents/Investment/Gold/"/>
    </mc:Choice>
  </mc:AlternateContent>
  <xr:revisionPtr revIDLastSave="2823" documentId="8_{8F25339C-4949-41EE-960A-88C5738B1C7B}" xr6:coauthVersionLast="47" xr6:coauthVersionMax="47" xr10:uidLastSave="{E46D9766-4C0C-4B41-86AF-8B8F9A959CBC}"/>
  <bookViews>
    <workbookView xWindow="-108" yWindow="-108" windowWidth="23256" windowHeight="14616" activeTab="2" xr2:uid="{31A808BD-FB11-42AE-B51A-3982F42DA1D0}"/>
  </bookViews>
  <sheets>
    <sheet name="Theo DÃµi Theo Tuáº§n" sheetId="1" r:id="rId1"/>
    <sheet name="PhÃ¢n TÃ­ch Theo ThÃ¡ng" sheetId="2" r:id="rId2"/>
    <sheet name="Dá»¯ Liá»‡u ThÃ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33" i="2" l="1"/>
  <c r="I233" i="2" s="1"/>
  <c r="C233" i="2"/>
  <c r="H232" i="2"/>
  <c r="I232" i="2" s="1"/>
  <c r="C232" i="2"/>
  <c r="H231" i="2"/>
  <c r="I231" i="2" s="1"/>
  <c r="C231" i="2"/>
  <c r="I230" i="2"/>
  <c r="H230" i="2"/>
  <c r="C230" i="2"/>
  <c r="H229" i="2"/>
  <c r="I229" i="2" s="1"/>
  <c r="C229" i="2"/>
  <c r="H228" i="2"/>
  <c r="I228" i="2" s="1"/>
  <c r="C228" i="2"/>
  <c r="I227" i="2"/>
  <c r="H227" i="2"/>
  <c r="C227" i="2"/>
  <c r="H226" i="2"/>
  <c r="I226" i="2" s="1"/>
  <c r="C226" i="2"/>
  <c r="I225" i="2"/>
  <c r="H225" i="2"/>
  <c r="C225" i="2"/>
  <c r="I224" i="2"/>
  <c r="H224" i="2"/>
  <c r="C224" i="2"/>
  <c r="I223" i="2"/>
  <c r="H223" i="2"/>
  <c r="C223" i="2"/>
  <c r="H222" i="2"/>
  <c r="I222" i="2" s="1"/>
  <c r="C222" i="2"/>
  <c r="H221" i="2"/>
  <c r="I221" i="2" s="1"/>
  <c r="C221" i="2"/>
  <c r="H220" i="2"/>
  <c r="I220" i="2" s="1"/>
  <c r="C220" i="2"/>
  <c r="H219" i="2"/>
  <c r="I219" i="2" s="1"/>
  <c r="C219" i="2"/>
  <c r="H218" i="2"/>
  <c r="I218" i="2" s="1"/>
  <c r="C218" i="2"/>
  <c r="H217" i="2"/>
  <c r="I217" i="2" s="1"/>
  <c r="C217" i="2"/>
  <c r="H216" i="2"/>
  <c r="I216" i="2" s="1"/>
  <c r="C216" i="2"/>
  <c r="H215" i="2"/>
  <c r="I215" i="2" s="1"/>
  <c r="C215" i="2"/>
  <c r="I214" i="2"/>
  <c r="H214" i="2"/>
  <c r="C214" i="2"/>
  <c r="H213" i="2"/>
  <c r="I213" i="2" s="1"/>
  <c r="C213" i="2"/>
  <c r="H212" i="2"/>
  <c r="I212" i="2" s="1"/>
  <c r="C212" i="2"/>
  <c r="I211" i="2"/>
  <c r="H211" i="2"/>
  <c r="C211" i="2"/>
  <c r="H210" i="2"/>
  <c r="I210" i="2" s="1"/>
  <c r="C210" i="2"/>
  <c r="H209" i="2"/>
  <c r="I209" i="2" s="1"/>
  <c r="C209" i="2"/>
  <c r="H208" i="2"/>
  <c r="I208" i="2" s="1"/>
  <c r="C208" i="2"/>
  <c r="H207" i="2"/>
  <c r="I207" i="2" s="1"/>
  <c r="C207" i="2"/>
  <c r="H206" i="2"/>
  <c r="I206" i="2" s="1"/>
  <c r="C206" i="2"/>
  <c r="H205" i="2"/>
  <c r="I205" i="2" s="1"/>
  <c r="C205" i="2"/>
  <c r="H204" i="2"/>
  <c r="I204" i="2" s="1"/>
  <c r="C204" i="2"/>
  <c r="H203" i="2"/>
  <c r="I203" i="2" s="1"/>
  <c r="C203" i="2"/>
  <c r="I202" i="2"/>
  <c r="H202" i="2"/>
  <c r="C202" i="2"/>
  <c r="H201" i="2"/>
  <c r="I201" i="2" s="1"/>
  <c r="C201" i="2"/>
  <c r="H200" i="2"/>
  <c r="I200" i="2" s="1"/>
  <c r="C200" i="2"/>
  <c r="H199" i="2"/>
  <c r="I199" i="2" s="1"/>
  <c r="C199" i="2"/>
  <c r="H198" i="2"/>
  <c r="I198" i="2" s="1"/>
  <c r="C198" i="2"/>
  <c r="H197" i="2"/>
  <c r="I197" i="2" s="1"/>
  <c r="C197" i="2"/>
  <c r="H196" i="2"/>
  <c r="I196" i="2" s="1"/>
  <c r="C196" i="2"/>
  <c r="H195" i="2"/>
  <c r="I195" i="2" s="1"/>
  <c r="C195" i="2"/>
  <c r="H194" i="2"/>
  <c r="I194" i="2" s="1"/>
  <c r="C194" i="2"/>
  <c r="H193" i="2"/>
  <c r="I193" i="2" s="1"/>
  <c r="C193" i="2"/>
  <c r="H192" i="2"/>
  <c r="I192" i="2" s="1"/>
  <c r="C192" i="2"/>
  <c r="H191" i="2"/>
  <c r="I191" i="2" s="1"/>
  <c r="C191" i="2"/>
  <c r="H190" i="2"/>
  <c r="I190" i="2" s="1"/>
  <c r="C190" i="2"/>
  <c r="H189" i="2"/>
  <c r="I189" i="2" s="1"/>
  <c r="C189" i="2"/>
  <c r="H188" i="2"/>
  <c r="I188" i="2" s="1"/>
  <c r="C188" i="2"/>
  <c r="H187" i="2"/>
  <c r="I187" i="2" s="1"/>
  <c r="C187" i="2"/>
  <c r="I186" i="2"/>
  <c r="H186" i="2"/>
  <c r="C186" i="2"/>
  <c r="H185" i="2"/>
  <c r="I185" i="2" s="1"/>
  <c r="C185" i="2"/>
  <c r="I184" i="2"/>
  <c r="H184" i="2"/>
  <c r="C184" i="2"/>
  <c r="H183" i="2"/>
  <c r="I183" i="2" s="1"/>
  <c r="C183" i="2"/>
  <c r="H182" i="2"/>
  <c r="I182" i="2" s="1"/>
  <c r="C182" i="2"/>
  <c r="H181" i="2"/>
  <c r="I181" i="2" s="1"/>
  <c r="C181" i="2"/>
  <c r="H180" i="2"/>
  <c r="I180" i="2" s="1"/>
  <c r="C180" i="2"/>
  <c r="I179" i="2"/>
  <c r="H179" i="2"/>
  <c r="C179" i="2"/>
  <c r="H178" i="2"/>
  <c r="I178" i="2" s="1"/>
  <c r="C178" i="2"/>
  <c r="H177" i="2"/>
  <c r="I177" i="2" s="1"/>
  <c r="C177" i="2"/>
  <c r="H176" i="2"/>
  <c r="I176" i="2" s="1"/>
  <c r="C176" i="2"/>
  <c r="H175" i="2"/>
  <c r="I175" i="2" s="1"/>
  <c r="C175" i="2"/>
  <c r="H174" i="2"/>
  <c r="I174" i="2" s="1"/>
  <c r="C174" i="2"/>
  <c r="I173" i="2"/>
  <c r="H173" i="2"/>
  <c r="C173" i="2"/>
  <c r="H172" i="2"/>
  <c r="I172" i="2" s="1"/>
  <c r="C172" i="2"/>
  <c r="H171" i="2"/>
  <c r="I171" i="2" s="1"/>
  <c r="C171" i="2"/>
  <c r="H170" i="2"/>
  <c r="I170" i="2" s="1"/>
  <c r="C170" i="2"/>
  <c r="H169" i="2"/>
  <c r="I169" i="2" s="1"/>
  <c r="C169" i="2"/>
  <c r="H168" i="2"/>
  <c r="I168" i="2" s="1"/>
  <c r="C168" i="2"/>
  <c r="H167" i="2"/>
  <c r="I167" i="2" s="1"/>
  <c r="C167" i="2"/>
  <c r="H166" i="2"/>
  <c r="I166" i="2" s="1"/>
  <c r="C166" i="2"/>
  <c r="H165" i="2"/>
  <c r="I165" i="2" s="1"/>
  <c r="C165" i="2"/>
  <c r="H164" i="2"/>
  <c r="I164" i="2" s="1"/>
  <c r="C164" i="2"/>
  <c r="H163" i="2"/>
  <c r="I163" i="2" s="1"/>
  <c r="C163" i="2"/>
  <c r="I162" i="2"/>
  <c r="H162" i="2"/>
  <c r="C162" i="2"/>
  <c r="H161" i="2"/>
  <c r="I161" i="2" s="1"/>
  <c r="C161" i="2"/>
  <c r="I160" i="2"/>
  <c r="H160" i="2"/>
  <c r="C160" i="2"/>
  <c r="H159" i="2"/>
  <c r="I159" i="2" s="1"/>
  <c r="C159" i="2"/>
  <c r="H158" i="2"/>
  <c r="I158" i="2" s="1"/>
  <c r="C158" i="2"/>
  <c r="I157" i="2"/>
  <c r="H157" i="2"/>
  <c r="C157" i="2"/>
  <c r="H156" i="2"/>
  <c r="I156" i="2" s="1"/>
  <c r="C156" i="2"/>
  <c r="H155" i="2"/>
  <c r="I155" i="2" s="1"/>
  <c r="C155" i="2"/>
  <c r="H154" i="2"/>
  <c r="I154" i="2" s="1"/>
  <c r="C154" i="2"/>
  <c r="H153" i="2"/>
  <c r="I153" i="2" s="1"/>
  <c r="C153" i="2"/>
  <c r="I152" i="2"/>
  <c r="H152" i="2"/>
  <c r="C152" i="2"/>
  <c r="H151" i="2"/>
  <c r="I151" i="2" s="1"/>
  <c r="C151" i="2"/>
  <c r="I150" i="2"/>
  <c r="H150" i="2"/>
  <c r="C150" i="2"/>
  <c r="H149" i="2"/>
  <c r="I149" i="2" s="1"/>
  <c r="C149" i="2"/>
  <c r="I148" i="2"/>
  <c r="H148" i="2"/>
  <c r="C148" i="2"/>
  <c r="H147" i="2"/>
  <c r="I147" i="2" s="1"/>
  <c r="C147" i="2"/>
  <c r="H146" i="2"/>
  <c r="I146" i="2" s="1"/>
  <c r="C146" i="2"/>
  <c r="H145" i="2"/>
  <c r="I145" i="2" s="1"/>
  <c r="C145" i="2"/>
  <c r="H144" i="2"/>
  <c r="I144" i="2" s="1"/>
  <c r="C144" i="2"/>
  <c r="H143" i="2"/>
  <c r="I143" i="2" s="1"/>
  <c r="C143" i="2"/>
  <c r="H142" i="2"/>
  <c r="I142" i="2" s="1"/>
  <c r="C142" i="2"/>
  <c r="H141" i="2"/>
  <c r="I141" i="2" s="1"/>
  <c r="C141" i="2"/>
  <c r="H140" i="2"/>
  <c r="I140" i="2" s="1"/>
  <c r="C140" i="2"/>
  <c r="H139" i="2"/>
  <c r="I139" i="2" s="1"/>
  <c r="C139" i="2"/>
  <c r="H138" i="2"/>
  <c r="I138" i="2" s="1"/>
  <c r="C138" i="2"/>
  <c r="I137" i="2"/>
  <c r="H137" i="2"/>
  <c r="C137" i="2"/>
  <c r="H136" i="2"/>
  <c r="I136" i="2" s="1"/>
  <c r="C136" i="2"/>
  <c r="I135" i="2"/>
  <c r="H135" i="2"/>
  <c r="C135" i="2"/>
  <c r="I134" i="2"/>
  <c r="H134" i="2"/>
  <c r="C134" i="2"/>
  <c r="H133" i="2"/>
  <c r="I133" i="2" s="1"/>
  <c r="C133" i="2"/>
  <c r="H132" i="2"/>
  <c r="I132" i="2" s="1"/>
  <c r="C132" i="2"/>
  <c r="H131" i="2"/>
  <c r="I131" i="2" s="1"/>
  <c r="C131" i="2"/>
  <c r="H130" i="2"/>
  <c r="I130" i="2" s="1"/>
  <c r="C130" i="2"/>
  <c r="H129" i="2"/>
  <c r="I129" i="2" s="1"/>
  <c r="C129" i="2"/>
  <c r="I128" i="2"/>
  <c r="H128" i="2"/>
  <c r="C128" i="2"/>
  <c r="I127" i="2"/>
  <c r="H127" i="2"/>
  <c r="C127" i="2"/>
  <c r="H126" i="2"/>
  <c r="I126" i="2" s="1"/>
  <c r="C126" i="2"/>
  <c r="H125" i="2"/>
  <c r="I125" i="2" s="1"/>
  <c r="C125" i="2"/>
  <c r="H124" i="2"/>
  <c r="I124" i="2" s="1"/>
  <c r="C124" i="2"/>
  <c r="H123" i="2"/>
  <c r="I123" i="2" s="1"/>
  <c r="C123" i="2"/>
  <c r="H122" i="2"/>
  <c r="I122" i="2" s="1"/>
  <c r="C122" i="2"/>
  <c r="H121" i="2"/>
  <c r="I121" i="2" s="1"/>
  <c r="C121" i="2"/>
  <c r="H120" i="2"/>
  <c r="I120" i="2" s="1"/>
  <c r="C120" i="2"/>
  <c r="H119" i="2"/>
  <c r="I119" i="2" s="1"/>
  <c r="C119" i="2"/>
  <c r="I118" i="2"/>
  <c r="H118" i="2"/>
  <c r="C118" i="2"/>
  <c r="H117" i="2"/>
  <c r="I117" i="2" s="1"/>
  <c r="C117" i="2"/>
  <c r="H116" i="2"/>
  <c r="I116" i="2" s="1"/>
  <c r="C116" i="2"/>
  <c r="I115" i="2"/>
  <c r="H115" i="2"/>
  <c r="C115" i="2"/>
  <c r="H114" i="2"/>
  <c r="I114" i="2" s="1"/>
  <c r="C114" i="2"/>
  <c r="H113" i="2"/>
  <c r="I113" i="2" s="1"/>
  <c r="C113" i="2"/>
  <c r="H112" i="2"/>
  <c r="I112" i="2" s="1"/>
  <c r="C112" i="2"/>
  <c r="H111" i="2"/>
  <c r="I111" i="2" s="1"/>
  <c r="C111" i="2"/>
  <c r="H110" i="2"/>
  <c r="I110" i="2" s="1"/>
  <c r="C110" i="2"/>
  <c r="I109" i="2"/>
  <c r="H109" i="2"/>
  <c r="C109" i="2"/>
  <c r="H108" i="2"/>
  <c r="I108" i="2" s="1"/>
  <c r="C108" i="2"/>
  <c r="H107" i="2"/>
  <c r="I107" i="2" s="1"/>
  <c r="C107" i="2"/>
  <c r="I106" i="2"/>
  <c r="H106" i="2"/>
  <c r="C106" i="2"/>
  <c r="H105" i="2"/>
  <c r="I105" i="2" s="1"/>
  <c r="C105" i="2"/>
  <c r="H104" i="2"/>
  <c r="I104" i="2" s="1"/>
  <c r="C104" i="2"/>
  <c r="I103" i="2"/>
  <c r="H103" i="2"/>
  <c r="C103" i="2"/>
  <c r="H102" i="2"/>
  <c r="I102" i="2" s="1"/>
  <c r="C102" i="2"/>
  <c r="H101" i="2"/>
  <c r="I101" i="2" s="1"/>
  <c r="C101" i="2"/>
  <c r="H100" i="2"/>
  <c r="I100" i="2" s="1"/>
  <c r="C100" i="2"/>
  <c r="H99" i="2"/>
  <c r="I99" i="2" s="1"/>
  <c r="C99" i="2"/>
  <c r="I98" i="2"/>
  <c r="H98" i="2"/>
  <c r="C98" i="2"/>
  <c r="H97" i="2"/>
  <c r="I97" i="2" s="1"/>
  <c r="C97" i="2"/>
  <c r="H96" i="2"/>
  <c r="I96" i="2" s="1"/>
  <c r="C96" i="2"/>
  <c r="I95" i="2"/>
  <c r="H95" i="2"/>
  <c r="C95" i="2"/>
  <c r="H94" i="2"/>
  <c r="I94" i="2" s="1"/>
  <c r="C94" i="2"/>
  <c r="H93" i="2"/>
  <c r="I93" i="2" s="1"/>
  <c r="C93" i="2"/>
  <c r="H92" i="2"/>
  <c r="I92" i="2" s="1"/>
  <c r="C92" i="2"/>
  <c r="H91" i="2"/>
  <c r="I91" i="2" s="1"/>
  <c r="C91" i="2"/>
  <c r="H90" i="2"/>
  <c r="I90" i="2" s="1"/>
  <c r="C90" i="2"/>
  <c r="H89" i="2"/>
  <c r="I89" i="2" s="1"/>
  <c r="C89" i="2"/>
  <c r="H88" i="2"/>
  <c r="I88" i="2" s="1"/>
  <c r="C88" i="2"/>
  <c r="I87" i="2"/>
  <c r="H87" i="2"/>
  <c r="C87" i="2"/>
  <c r="H86" i="2"/>
  <c r="I86" i="2" s="1"/>
  <c r="C86" i="2"/>
  <c r="H85" i="2"/>
  <c r="I85" i="2" s="1"/>
  <c r="C85" i="2"/>
  <c r="H84" i="2"/>
  <c r="I84" i="2" s="1"/>
  <c r="C84" i="2"/>
  <c r="H83" i="2"/>
  <c r="I83" i="2" s="1"/>
  <c r="C83" i="2"/>
  <c r="H82" i="2"/>
  <c r="I82" i="2" s="1"/>
  <c r="C82" i="2"/>
  <c r="H81" i="2"/>
  <c r="I81" i="2" s="1"/>
  <c r="C81" i="2"/>
  <c r="I80" i="2"/>
  <c r="H80" i="2"/>
  <c r="C80" i="2"/>
  <c r="I79" i="2"/>
  <c r="H79" i="2"/>
  <c r="C79" i="2"/>
  <c r="H78" i="2"/>
  <c r="I78" i="2" s="1"/>
  <c r="C78" i="2"/>
  <c r="H77" i="2"/>
  <c r="I77" i="2" s="1"/>
  <c r="C77" i="2"/>
  <c r="H76" i="2"/>
  <c r="I76" i="2" s="1"/>
  <c r="C76" i="2"/>
  <c r="H75" i="2"/>
  <c r="I75" i="2" s="1"/>
  <c r="C75" i="2"/>
  <c r="I74" i="2"/>
  <c r="H74" i="2"/>
  <c r="C74" i="2"/>
  <c r="H73" i="2"/>
  <c r="I73" i="2" s="1"/>
  <c r="C73" i="2"/>
  <c r="H72" i="2"/>
  <c r="I72" i="2" s="1"/>
  <c r="C72" i="2"/>
  <c r="H71" i="2"/>
  <c r="I71" i="2" s="1"/>
  <c r="C71" i="2"/>
  <c r="H70" i="2"/>
  <c r="I70" i="2" s="1"/>
  <c r="C70" i="2"/>
  <c r="H69" i="2"/>
  <c r="I69" i="2" s="1"/>
  <c r="C69" i="2"/>
  <c r="I68" i="2"/>
  <c r="H68" i="2"/>
  <c r="C68" i="2"/>
  <c r="H67" i="2"/>
  <c r="I67" i="2" s="1"/>
  <c r="C67" i="2"/>
  <c r="H66" i="2"/>
  <c r="I66" i="2" s="1"/>
  <c r="C66" i="2"/>
  <c r="H65" i="2"/>
  <c r="I65" i="2" s="1"/>
  <c r="C65" i="2"/>
  <c r="H64" i="2"/>
  <c r="I64" i="2" s="1"/>
  <c r="C64" i="2"/>
  <c r="H63" i="2"/>
  <c r="I63" i="2" s="1"/>
  <c r="C63" i="2"/>
  <c r="H62" i="2"/>
  <c r="I62" i="2" s="1"/>
  <c r="C62" i="2"/>
  <c r="H61" i="2"/>
  <c r="I61" i="2" s="1"/>
  <c r="C61" i="2"/>
  <c r="H60" i="2"/>
  <c r="I60" i="2" s="1"/>
  <c r="C60" i="2"/>
  <c r="H59" i="2"/>
  <c r="I59" i="2" s="1"/>
  <c r="C59" i="2"/>
  <c r="I58" i="2"/>
  <c r="H58" i="2"/>
  <c r="C58" i="2"/>
  <c r="H57" i="2"/>
  <c r="I57" i="2" s="1"/>
  <c r="C57" i="2"/>
  <c r="H56" i="2"/>
  <c r="I56" i="2" s="1"/>
  <c r="C56" i="2"/>
  <c r="H55" i="2"/>
  <c r="I55" i="2" s="1"/>
  <c r="C55" i="2"/>
  <c r="I54" i="2"/>
  <c r="H54" i="2"/>
  <c r="C54" i="2"/>
  <c r="I53" i="2"/>
  <c r="H53" i="2"/>
  <c r="C53" i="2"/>
  <c r="H52" i="2"/>
  <c r="I52" i="2" s="1"/>
  <c r="C52" i="2"/>
  <c r="H51" i="2"/>
  <c r="I51" i="2" s="1"/>
  <c r="C51" i="2"/>
  <c r="H50" i="2"/>
  <c r="I50" i="2" s="1"/>
  <c r="C50" i="2"/>
  <c r="I49" i="2"/>
  <c r="H49" i="2"/>
  <c r="C49" i="2"/>
  <c r="I48" i="2"/>
  <c r="H48" i="2"/>
  <c r="C48" i="2"/>
  <c r="I47" i="2"/>
  <c r="H47" i="2"/>
  <c r="C47" i="2"/>
  <c r="H46" i="2"/>
  <c r="I46" i="2" s="1"/>
  <c r="C46" i="2"/>
  <c r="I45" i="2"/>
  <c r="H45" i="2"/>
  <c r="C45" i="2"/>
  <c r="I44" i="2"/>
  <c r="H44" i="2"/>
  <c r="C44" i="2"/>
  <c r="H43" i="2"/>
  <c r="I43" i="2" s="1"/>
  <c r="C43" i="2"/>
  <c r="H42" i="2"/>
  <c r="I42" i="2" s="1"/>
  <c r="C42" i="2"/>
  <c r="H41" i="2"/>
  <c r="I41" i="2" s="1"/>
  <c r="C41" i="2"/>
  <c r="H40" i="2"/>
  <c r="I40" i="2" s="1"/>
  <c r="C40" i="2"/>
  <c r="H39" i="2"/>
  <c r="I39" i="2" s="1"/>
  <c r="C39" i="2"/>
  <c r="I38" i="2"/>
  <c r="H38" i="2"/>
  <c r="C38" i="2"/>
  <c r="H37" i="2"/>
  <c r="I37" i="2" s="1"/>
  <c r="C37" i="2"/>
  <c r="H36" i="2"/>
  <c r="I36" i="2" s="1"/>
  <c r="C36" i="2"/>
  <c r="H35" i="2"/>
  <c r="I35" i="2" s="1"/>
  <c r="C35" i="2"/>
  <c r="I34" i="2"/>
  <c r="H34" i="2"/>
  <c r="C34" i="2"/>
  <c r="I33" i="2"/>
  <c r="H33" i="2"/>
  <c r="C33" i="2"/>
  <c r="H32" i="2"/>
  <c r="I32" i="2" s="1"/>
  <c r="C32" i="2"/>
  <c r="H31" i="2"/>
  <c r="I31" i="2" s="1"/>
  <c r="C31" i="2"/>
  <c r="H30" i="2"/>
  <c r="I30" i="2" s="1"/>
  <c r="C30" i="2"/>
  <c r="H29" i="2"/>
  <c r="I29" i="2" s="1"/>
  <c r="C29" i="2"/>
  <c r="I28" i="2"/>
  <c r="H28" i="2"/>
  <c r="C28" i="2"/>
  <c r="H27" i="2"/>
  <c r="I27" i="2" s="1"/>
  <c r="C27" i="2"/>
  <c r="I26" i="2"/>
  <c r="H26" i="2"/>
  <c r="C26" i="2"/>
  <c r="I25" i="2"/>
  <c r="H25" i="2"/>
  <c r="C25" i="2"/>
  <c r="I24" i="2"/>
  <c r="H24" i="2"/>
  <c r="C24" i="2"/>
  <c r="H23" i="2"/>
  <c r="I23" i="2" s="1"/>
  <c r="C23" i="2"/>
  <c r="H22" i="2"/>
  <c r="I22" i="2" s="1"/>
  <c r="C22" i="2"/>
  <c r="I21" i="2"/>
  <c r="H21" i="2"/>
  <c r="C21" i="2"/>
  <c r="I20" i="2"/>
  <c r="H20" i="2"/>
  <c r="C20" i="2"/>
  <c r="H19" i="2"/>
  <c r="I19" i="2" s="1"/>
  <c r="C19" i="2"/>
  <c r="H18" i="2"/>
  <c r="I18" i="2" s="1"/>
  <c r="C18" i="2"/>
  <c r="I17" i="2"/>
  <c r="H17" i="2"/>
  <c r="C17" i="2"/>
  <c r="H16" i="2"/>
  <c r="I16" i="2" s="1"/>
  <c r="C16" i="2"/>
  <c r="H15" i="2"/>
  <c r="I15" i="2" s="1"/>
  <c r="C15" i="2"/>
  <c r="H14" i="2"/>
  <c r="I14" i="2" s="1"/>
  <c r="C14" i="2"/>
  <c r="H13" i="2"/>
  <c r="I13" i="2" s="1"/>
  <c r="C13" i="2"/>
  <c r="H12" i="2"/>
  <c r="I12" i="2" s="1"/>
  <c r="C12" i="2"/>
  <c r="I11" i="2"/>
  <c r="H11" i="2"/>
  <c r="C11" i="2"/>
  <c r="H10" i="2"/>
  <c r="I10" i="2" s="1"/>
  <c r="C10" i="2"/>
  <c r="H9" i="2"/>
  <c r="I9" i="2" s="1"/>
  <c r="C9" i="2"/>
  <c r="H8" i="2"/>
  <c r="I8" i="2" s="1"/>
  <c r="C8" i="2"/>
  <c r="I7" i="2"/>
  <c r="H7" i="2"/>
  <c r="C7" i="2"/>
  <c r="I6" i="2"/>
  <c r="H6" i="2"/>
  <c r="C6" i="2"/>
  <c r="H5" i="2"/>
  <c r="I5" i="2" s="1"/>
  <c r="C5" i="2"/>
  <c r="H4" i="2"/>
  <c r="I4" i="2" s="1"/>
  <c r="C4" i="2"/>
  <c r="H3" i="2"/>
  <c r="I3" i="2" s="1"/>
  <c r="C3" i="2"/>
  <c r="H2" i="2"/>
  <c r="I2" i="2" s="1"/>
  <c r="C2" i="2"/>
</calcChain>
</file>

<file path=xl/sharedStrings.xml><?xml version="1.0" encoding="utf-8"?>
<sst xmlns="http://schemas.openxmlformats.org/spreadsheetml/2006/main" count="1853" uniqueCount="178">
  <si>
    <t>Ngay</t>
  </si>
  <si>
    <t>ISO_Date</t>
  </si>
  <si>
    <t>ThÃ¡ng/Tuáº§n</t>
  </si>
  <si>
    <t>Thu</t>
  </si>
  <si>
    <t>Loai_Vang</t>
  </si>
  <si>
    <t>Gia_Mua_VND_Luong</t>
  </si>
  <si>
    <t>Gia_Ban_VND_Luong</t>
  </si>
  <si>
    <t>GiÃ¡ vÃ ng tháº¿ giá»›i</t>
  </si>
  <si>
    <t>Äá»™ chÃªnh lá»‡ch</t>
  </si>
  <si>
    <t>Chenh_Lech_VND_Luong</t>
  </si>
  <si>
    <t>Gia_Mua_VND_Chi</t>
  </si>
  <si>
    <t>Gia_Ban_VND_Chi</t>
  </si>
  <si>
    <t>Gia_The_Gioi_USD_oz</t>
  </si>
  <si>
    <t>SJC_Mieng_Mua_VND_Luong</t>
  </si>
  <si>
    <t>SJC_Mieng_Ban_VND_Luong</t>
  </si>
  <si>
    <t>Cap_Nhat_Luc</t>
  </si>
  <si>
    <t>Thá»© NÄƒm</t>
  </si>
  <si>
    <t>Thá»© SÃ¡u</t>
  </si>
  <si>
    <t>Thá»© Báº£y</t>
  </si>
  <si>
    <t>Chá»§ Nháº­t</t>
  </si>
  <si>
    <t>Thá»© Hai</t>
  </si>
  <si>
    <t>Thá»© Ba</t>
  </si>
  <si>
    <t>Thá»© TÆ°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</si>
  <si>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</si>
  <si>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</si>
  <si>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</si>
  <si>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</si>
  <si>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</si>
  <si>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</si>
  <si>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</si>
  <si>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</si>
  <si>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</si>
  <si>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</si>
  <si>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</si>
  <si>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</si>
  <si>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</si>
  <si>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</si>
  <si>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</si>
  <si>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</si>
  <si>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</si>
  <si>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</si>
  <si>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</si>
  <si>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</si>
  <si>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</si>
  <si>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</si>
  <si>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</si>
  <si>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</si>
  <si>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</si>
  <si>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</si>
  <si>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</si>
  <si>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</si>
  <si>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</si>
  <si>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</si>
  <si>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</si>
  <si>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</si>
  <si>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</si>
  <si>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</si>
  <si>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</si>
  <si>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</si>
  <si>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</si>
  <si>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</si>
  <si>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</si>
  <si>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</si>
  <si>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</si>
  <si>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</si>
  <si>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</si>
  <si>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</si>
  <si>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</si>
  <si>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</si>
  <si>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</si>
  <si>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</si>
  <si>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</si>
  <si>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</si>
  <si>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</si>
  <si>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</si>
  <si>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</si>
  <si>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</si>
  <si>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</si>
  <si>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</si>
  <si>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</si>
  <si>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</si>
  <si>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</si>
  <si>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</si>
  <si>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</si>
  <si>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</si>
  <si>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</si>
  <si>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</si>
  <si>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</si>
  <si>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</si>
  <si>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</si>
  <si>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</si>
  <si>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</si>
  <si>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</si>
  <si>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</si>
  <si>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</si>
  <si>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</si>
  <si>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</si>
  <si>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</si>
  <si>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</si>
  <si>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</si>
  <si>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</si>
  <si>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</si>
  <si>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</si>
  <si>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</si>
  <si>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</si>
  <si>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</si>
  <si>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</si>
  <si>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</si>
  <si>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</si>
  <si>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</si>
  <si>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</si>
  <si>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</si>
  <si>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</si>
  <si>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</si>
  <si>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</si>
  <si>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</si>
  <si>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</si>
  <si>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</si>
  <si>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</si>
  <si>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</si>
  <si>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</si>
  <si>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</si>
  <si>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</si>
  <si>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</si>
  <si>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</si>
  <si>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</si>
  <si>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</si>
  <si>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</si>
  <si>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</si>
  <si>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</si>
  <si>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</si>
  <si>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</si>
  <si>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</si>
  <si>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</si>
  <si>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</si>
  <si>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</si>
  <si>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</si>
  <si>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</si>
  <si>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</si>
  <si>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</si>
  <si>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</si>
  <si>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</si>
  <si>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</si>
  <si>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</si>
  <si>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</si>
  <si>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</si>
  <si>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</si>
  <si>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</si>
  <si>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</si>
  <si>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</si>
  <si>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</si>
  <si>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</si>
  <si>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</si>
  <si>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</si>
  <si>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</si>
  <si>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</si>
  <si>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</si>
  <si>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</si>
  <si>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</si>
  <si>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VÃ ng nháº«n SJC 9999</t>
  </si>
  <si>
    <t>NgÃ y</t>
  </si>
  <si>
    <t>ISO Date</t>
  </si>
  <si>
    <t>Thá»©</t>
  </si>
  <si>
    <t>Loáº¡i vÃ ng</t>
  </si>
  <si>
    <t>GiÃ¡ Mua (VNÄ/lÆ°á»£ng)</t>
  </si>
  <si>
    <t>GiÃ¡ BÃ¡n (VNÄ/lÆ°á»£ng)</t>
  </si>
  <si>
    <t>ChÃªnh lá»‡ch (VNÄ/lÆ°á»£ng)</t>
  </si>
  <si>
    <t>GiÃ¡ Mua (VNÄ/chá»‰)</t>
  </si>
  <si>
    <t>GiÃ¡ BÃ¡n (VNÄ/chá»‰)</t>
  </si>
  <si>
    <t>SJC Miáº¿ng Mua</t>
  </si>
  <si>
    <t>SJC Miáº¿ng BÃ¡n</t>
  </si>
  <si>
    <t>Cáº­p nháº­t lÃºc</t>
  </si>
  <si>
    <t>21/08/2026</t>
  </si>
  <si>
    <t>Thứ Sáu</t>
  </si>
  <si>
    <t>22/08/2026</t>
  </si>
  <si>
    <t>Thứ Bảy</t>
  </si>
  <si>
    <t>23/08/2026</t>
  </si>
  <si>
    <t>Chủ Nhật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</si>
</sst>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Times New Roman"/>
      <family val="2"/>
    </font>
    <font>
      <b/>
      <sz val="11"/>
      <color indexed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134E27"/>
        <bgColor indexed="64"/>
      </patternFill>
    </fill>
    <fill>
      <patternFill patternType="solid">
        <fgColor rgb="FF4A4A4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20" fontId="0" fillId="0" borderId="0" xfId="0" applyNumberFormat="1"/>
    <xf numFmtId="3" fontId="1" fillId="2" borderId="0" xfId="0" applyNumberFormat="1" applyFont="1" applyFill="1" applyAlignment="1">
      <alignment horizontal="center"/>
    </xf>
    <xf numFmtId="3" fontId="0" fillId="0" borderId="0" xfId="0" applyNumberForma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1" fillId="3" borderId="0" xfId="0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3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45F6-48F2-4A59-91EB-38E1C3FD8C46}">
  <dimension ref="A1:P236"/>
  <sheetViews>
    <sheetView topLeftCell="A211" workbookViewId="0">
      <selection activeCell="A236" sqref="A236:XFD236"/>
    </sheetView>
  </sheetViews>
  <sheetFormatPr defaultRowHeight="13.8" x14ac:dyDescent="0.25"/>
  <cols>
    <col min="6" max="8" width="11.109375" style="5" bestFit="1" customWidth="1"/>
    <col min="9" max="9" width="10.109375" style="5" bestFit="1" customWidth="1"/>
    <col min="10" max="10" width="9.109375" style="5" bestFit="1" customWidth="1"/>
    <col min="11" max="12" width="10.109375" style="5" bestFit="1" customWidth="1"/>
    <col min="13" max="13" width="8.88671875" style="7"/>
    <col min="14" max="15" width="11.109375" style="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1" t="s">
        <v>15</v>
      </c>
    </row>
    <row r="2" spans="1:16" x14ac:dyDescent="0.25">
      <c r="A2" s="2">
        <v>46023</v>
      </c>
      <c r="B2" s="2">
        <v>46023</v>
      </c>
      <c r="C2" t="s">
        <v>16</v>
      </c>
      <c r="D2" t="s">
        <v>159</v>
      </c>
      <c r="E2">
        <v>145900000</v>
      </c>
      <c r="F2" s="5">
        <v>148900000</v>
      </c>
      <c r="G2" s="5">
        <v>3000000</v>
      </c>
      <c r="H2" s="5">
        <v>14590000</v>
      </c>
      <c r="I2" s="5">
        <v>14890000</v>
      </c>
      <c r="J2" s="5">
        <v>150800000</v>
      </c>
      <c r="K2" s="5">
        <v>152800000</v>
      </c>
      <c r="L2" s="5">
        <v>0.35416666666666669</v>
      </c>
      <c r="M2" s="7">
        <v>4319.6000000000004</v>
      </c>
      <c r="N2" s="5">
        <v>150800000</v>
      </c>
      <c r="O2" s="5">
        <v>152800000</v>
      </c>
      <c r="P2" s="3">
        <v>0.35416666666666669</v>
      </c>
    </row>
    <row r="3" spans="1:16" x14ac:dyDescent="0.25">
      <c r="A3" s="2">
        <v>46054</v>
      </c>
      <c r="B3" s="2">
        <v>46024</v>
      </c>
      <c r="C3" t="s">
        <v>17</v>
      </c>
      <c r="D3" t="s">
        <v>159</v>
      </c>
      <c r="E3">
        <v>145900000</v>
      </c>
      <c r="F3" s="5">
        <v>148900000</v>
      </c>
      <c r="G3" s="5">
        <v>3000000</v>
      </c>
      <c r="H3" s="5">
        <v>14590000</v>
      </c>
      <c r="I3" s="5">
        <v>14890000</v>
      </c>
      <c r="J3" s="5">
        <v>150800000</v>
      </c>
      <c r="K3" s="5">
        <v>152800000</v>
      </c>
      <c r="L3" s="5">
        <v>0.97916666666666663</v>
      </c>
      <c r="M3" s="7">
        <v>4322.3999999999996</v>
      </c>
      <c r="N3" s="5">
        <v>150800000</v>
      </c>
      <c r="O3" s="5">
        <v>152800000</v>
      </c>
      <c r="P3" s="3">
        <v>0.97916666666666663</v>
      </c>
    </row>
    <row r="4" spans="1:16" x14ac:dyDescent="0.25">
      <c r="A4" s="2">
        <v>46082</v>
      </c>
      <c r="B4" s="2">
        <v>46025</v>
      </c>
      <c r="C4" t="s">
        <v>18</v>
      </c>
      <c r="D4" t="s">
        <v>159</v>
      </c>
      <c r="E4">
        <v>145900000</v>
      </c>
      <c r="F4" s="5">
        <v>148900000</v>
      </c>
      <c r="G4" s="5">
        <v>3000000</v>
      </c>
      <c r="H4" s="5">
        <v>14590000</v>
      </c>
      <c r="I4" s="5">
        <v>14890000</v>
      </c>
      <c r="J4" s="5">
        <v>150800000</v>
      </c>
      <c r="K4" s="5">
        <v>152800000</v>
      </c>
      <c r="L4" s="5">
        <v>0.35416666666666669</v>
      </c>
      <c r="M4" s="7">
        <v>4332.3</v>
      </c>
      <c r="N4" s="5">
        <v>150800000</v>
      </c>
      <c r="O4" s="5">
        <v>152800000</v>
      </c>
      <c r="P4" s="3">
        <v>0.35416666666666669</v>
      </c>
    </row>
    <row r="5" spans="1:16" x14ac:dyDescent="0.25">
      <c r="A5" s="2">
        <v>46113</v>
      </c>
      <c r="B5" s="2">
        <v>46026</v>
      </c>
      <c r="C5" t="s">
        <v>19</v>
      </c>
      <c r="D5" t="s">
        <v>159</v>
      </c>
      <c r="E5">
        <v>145900000</v>
      </c>
      <c r="F5" s="5">
        <v>148900000</v>
      </c>
      <c r="G5" s="5">
        <v>3000000</v>
      </c>
      <c r="H5" s="5">
        <v>14590000</v>
      </c>
      <c r="I5" s="5">
        <v>14890000</v>
      </c>
      <c r="J5" s="5">
        <v>150800000</v>
      </c>
      <c r="K5" s="5">
        <v>152800000</v>
      </c>
      <c r="L5" s="5">
        <v>0</v>
      </c>
      <c r="M5" s="7">
        <v>4332.3</v>
      </c>
      <c r="N5" s="5">
        <v>150800000</v>
      </c>
      <c r="O5" s="5">
        <v>152800000</v>
      </c>
      <c r="P5" s="3">
        <v>0</v>
      </c>
    </row>
    <row r="6" spans="1:16" x14ac:dyDescent="0.25">
      <c r="A6" s="2">
        <v>46143</v>
      </c>
      <c r="B6" s="2">
        <v>46027</v>
      </c>
      <c r="C6" t="s">
        <v>20</v>
      </c>
      <c r="D6" t="s">
        <v>159</v>
      </c>
      <c r="E6">
        <v>149900000</v>
      </c>
      <c r="F6" s="5">
        <v>152900000</v>
      </c>
      <c r="G6" s="5">
        <v>3000000</v>
      </c>
      <c r="H6" s="5">
        <v>14990000</v>
      </c>
      <c r="I6" s="5">
        <v>15290000</v>
      </c>
      <c r="J6" s="5">
        <v>155100000</v>
      </c>
      <c r="K6" s="5">
        <v>157100000</v>
      </c>
      <c r="L6" s="5">
        <v>0.97916666666666663</v>
      </c>
      <c r="M6" s="7">
        <v>4443.2</v>
      </c>
      <c r="N6" s="5">
        <v>155100000</v>
      </c>
      <c r="O6" s="5">
        <v>157100000</v>
      </c>
      <c r="P6" s="3">
        <v>0.97916666666666663</v>
      </c>
    </row>
    <row r="7" spans="1:16" x14ac:dyDescent="0.25">
      <c r="A7" s="2">
        <v>46174</v>
      </c>
      <c r="B7" s="2">
        <v>46028</v>
      </c>
      <c r="C7" t="s">
        <v>21</v>
      </c>
      <c r="D7" t="s">
        <v>159</v>
      </c>
      <c r="E7">
        <v>151000000</v>
      </c>
      <c r="F7" s="5">
        <v>154000000</v>
      </c>
      <c r="G7" s="5">
        <v>3000000</v>
      </c>
      <c r="H7" s="5">
        <v>15100000</v>
      </c>
      <c r="I7" s="5">
        <v>15400000</v>
      </c>
      <c r="J7" s="5">
        <v>156000000</v>
      </c>
      <c r="K7" s="5">
        <v>158000000</v>
      </c>
      <c r="L7" s="5">
        <v>0.97916666666666663</v>
      </c>
      <c r="M7" s="7">
        <v>4484.5</v>
      </c>
      <c r="N7" s="5">
        <v>156000000</v>
      </c>
      <c r="O7" s="5">
        <v>158000000</v>
      </c>
      <c r="P7" s="3">
        <v>0.97916666666666663</v>
      </c>
    </row>
    <row r="8" spans="1:16" x14ac:dyDescent="0.25">
      <c r="A8" s="2">
        <v>46204</v>
      </c>
      <c r="B8" s="2">
        <v>46029</v>
      </c>
      <c r="C8" t="s">
        <v>22</v>
      </c>
      <c r="D8" t="s">
        <v>159</v>
      </c>
      <c r="E8">
        <v>152100000</v>
      </c>
      <c r="F8" s="5">
        <v>154600000</v>
      </c>
      <c r="G8" s="5">
        <v>2500000</v>
      </c>
      <c r="H8" s="5">
        <v>15210000</v>
      </c>
      <c r="I8" s="5">
        <v>15460000</v>
      </c>
      <c r="J8" s="5">
        <v>156100000</v>
      </c>
      <c r="K8" s="5">
        <v>158100000</v>
      </c>
      <c r="L8" s="5">
        <v>0.97916666666666663</v>
      </c>
      <c r="M8" s="7">
        <v>4457.8</v>
      </c>
      <c r="N8" s="5">
        <v>156100000</v>
      </c>
      <c r="O8" s="5">
        <v>158100000</v>
      </c>
      <c r="P8" s="3">
        <v>0.97916666666666663</v>
      </c>
    </row>
    <row r="9" spans="1:16" x14ac:dyDescent="0.25">
      <c r="A9" s="2">
        <v>46235</v>
      </c>
      <c r="B9" s="2">
        <v>46030</v>
      </c>
      <c r="C9" t="s">
        <v>16</v>
      </c>
      <c r="D9" t="s">
        <v>159</v>
      </c>
      <c r="E9">
        <v>151900000</v>
      </c>
      <c r="F9" s="5">
        <v>154400000</v>
      </c>
      <c r="G9" s="5">
        <v>2500000</v>
      </c>
      <c r="H9" s="5">
        <v>15190000</v>
      </c>
      <c r="I9" s="5">
        <v>15440000</v>
      </c>
      <c r="J9" s="5">
        <v>155200000</v>
      </c>
      <c r="K9" s="5">
        <v>157200000</v>
      </c>
      <c r="L9" s="5">
        <v>0.97916666666666663</v>
      </c>
      <c r="M9" s="7">
        <v>4456.2</v>
      </c>
      <c r="N9" s="5">
        <v>155200000</v>
      </c>
      <c r="O9" s="5">
        <v>157200000</v>
      </c>
      <c r="P9" s="3">
        <v>0.97916666666666663</v>
      </c>
    </row>
    <row r="10" spans="1:16" x14ac:dyDescent="0.25">
      <c r="A10" s="2">
        <v>46266</v>
      </c>
      <c r="B10" s="2">
        <v>46031</v>
      </c>
      <c r="C10" t="s">
        <v>17</v>
      </c>
      <c r="D10" t="s">
        <v>159</v>
      </c>
      <c r="E10">
        <v>152800000</v>
      </c>
      <c r="F10" s="5">
        <v>155300000</v>
      </c>
      <c r="G10" s="5">
        <v>2500000</v>
      </c>
      <c r="H10" s="5">
        <v>15280000</v>
      </c>
      <c r="I10" s="5">
        <v>15530000</v>
      </c>
      <c r="J10" s="5">
        <v>156300000</v>
      </c>
      <c r="K10" s="5">
        <v>158300000</v>
      </c>
      <c r="L10" s="5">
        <v>0.97916666666666663</v>
      </c>
      <c r="M10" s="7">
        <v>4505</v>
      </c>
      <c r="N10" s="5">
        <v>156300000</v>
      </c>
      <c r="O10" s="5">
        <v>158300000</v>
      </c>
      <c r="P10" s="3">
        <v>0.97916666666666663</v>
      </c>
    </row>
    <row r="11" spans="1:16" x14ac:dyDescent="0.25">
      <c r="A11" s="2">
        <v>46296</v>
      </c>
      <c r="B11" s="2">
        <v>46032</v>
      </c>
      <c r="C11" t="s">
        <v>18</v>
      </c>
      <c r="D11" t="s">
        <v>159</v>
      </c>
      <c r="E11">
        <v>154300000</v>
      </c>
      <c r="F11" s="5">
        <v>156800000</v>
      </c>
      <c r="G11" s="5">
        <v>2500000</v>
      </c>
      <c r="H11" s="5">
        <v>15430000</v>
      </c>
      <c r="I11" s="5">
        <v>15680000</v>
      </c>
      <c r="J11" s="5">
        <v>157800000</v>
      </c>
      <c r="K11" s="5">
        <v>159800000</v>
      </c>
      <c r="L11" s="5">
        <v>0.60416666666666663</v>
      </c>
      <c r="M11" s="7">
        <v>4510.8</v>
      </c>
      <c r="N11" s="5">
        <v>157800000</v>
      </c>
      <c r="O11" s="5">
        <v>159800000</v>
      </c>
      <c r="P11" s="3">
        <v>0.60416666666666663</v>
      </c>
    </row>
    <row r="12" spans="1:16" x14ac:dyDescent="0.25">
      <c r="A12" s="2">
        <v>46327</v>
      </c>
      <c r="B12" s="2">
        <v>46033</v>
      </c>
      <c r="C12" t="s">
        <v>19</v>
      </c>
      <c r="D12" t="s">
        <v>159</v>
      </c>
      <c r="E12">
        <v>154300000</v>
      </c>
      <c r="F12" s="5">
        <v>156800000</v>
      </c>
      <c r="G12" s="5">
        <v>2500000</v>
      </c>
      <c r="H12" s="5">
        <v>15430000</v>
      </c>
      <c r="I12" s="5">
        <v>15680000</v>
      </c>
      <c r="J12" s="5">
        <v>157800000</v>
      </c>
      <c r="K12" s="5">
        <v>159800000</v>
      </c>
      <c r="L12" s="5">
        <v>0</v>
      </c>
      <c r="M12" s="7">
        <v>4510.8</v>
      </c>
      <c r="N12" s="5">
        <v>157800000</v>
      </c>
      <c r="O12" s="5">
        <v>159800000</v>
      </c>
      <c r="P12" s="3">
        <v>0</v>
      </c>
    </row>
    <row r="13" spans="1:16" x14ac:dyDescent="0.25">
      <c r="A13" s="2">
        <v>46357</v>
      </c>
      <c r="B13" s="2">
        <v>46034</v>
      </c>
      <c r="C13" t="s">
        <v>20</v>
      </c>
      <c r="D13" t="s">
        <v>159</v>
      </c>
      <c r="E13">
        <v>156500000</v>
      </c>
      <c r="F13" s="5">
        <v>159000000</v>
      </c>
      <c r="G13" s="5">
        <v>2500000</v>
      </c>
      <c r="H13" s="5">
        <v>15650000</v>
      </c>
      <c r="I13" s="5">
        <v>15900000</v>
      </c>
      <c r="J13" s="5">
        <v>160000000</v>
      </c>
      <c r="K13" s="5">
        <v>162000000</v>
      </c>
      <c r="L13" s="5">
        <v>0.95833333333333337</v>
      </c>
      <c r="M13" s="7">
        <v>4622.7</v>
      </c>
      <c r="N13" s="5">
        <v>160000000</v>
      </c>
      <c r="O13" s="5">
        <v>162000000</v>
      </c>
      <c r="P13" s="3">
        <v>0.95833333333333337</v>
      </c>
    </row>
    <row r="14" spans="1:16" x14ac:dyDescent="0.25">
      <c r="A14" t="s">
        <v>23</v>
      </c>
      <c r="B14" s="2">
        <v>46035</v>
      </c>
      <c r="C14" t="s">
        <v>21</v>
      </c>
      <c r="D14" t="s">
        <v>159</v>
      </c>
      <c r="E14">
        <v>156500000</v>
      </c>
      <c r="F14" s="5">
        <v>159000000</v>
      </c>
      <c r="G14" s="5">
        <v>2500000</v>
      </c>
      <c r="H14" s="5">
        <v>15650000</v>
      </c>
      <c r="I14" s="5">
        <v>15900000</v>
      </c>
      <c r="J14" s="5">
        <v>160000000</v>
      </c>
      <c r="K14" s="5">
        <v>162000000</v>
      </c>
      <c r="L14" s="5">
        <v>0.97916666666666663</v>
      </c>
      <c r="M14" s="7">
        <v>4596.7</v>
      </c>
      <c r="N14" s="5">
        <v>160000000</v>
      </c>
      <c r="O14" s="5">
        <v>162000000</v>
      </c>
      <c r="P14" s="3">
        <v>0.97916666666666663</v>
      </c>
    </row>
    <row r="15" spans="1:16" x14ac:dyDescent="0.25">
      <c r="A15" t="s">
        <v>24</v>
      </c>
      <c r="B15" s="2">
        <v>46036</v>
      </c>
      <c r="C15" t="s">
        <v>22</v>
      </c>
      <c r="D15" t="s">
        <v>159</v>
      </c>
      <c r="E15">
        <v>157900000</v>
      </c>
      <c r="F15" s="5">
        <v>160400000</v>
      </c>
      <c r="G15" s="5">
        <v>2500000</v>
      </c>
      <c r="H15" s="5">
        <v>15790000</v>
      </c>
      <c r="I15" s="5">
        <v>16040000</v>
      </c>
      <c r="J15" s="5">
        <v>161500000</v>
      </c>
      <c r="K15" s="5">
        <v>163500000</v>
      </c>
      <c r="L15" s="5">
        <v>0.97916666666666663</v>
      </c>
      <c r="M15" s="7">
        <v>4622.2</v>
      </c>
      <c r="N15" s="5">
        <v>161500000</v>
      </c>
      <c r="O15" s="5">
        <v>163500000</v>
      </c>
      <c r="P15" s="3">
        <v>0.97916666666666663</v>
      </c>
    </row>
    <row r="16" spans="1:16" x14ac:dyDescent="0.25">
      <c r="A16" t="s">
        <v>25</v>
      </c>
      <c r="B16" s="2">
        <v>46037</v>
      </c>
      <c r="C16" t="s">
        <v>16</v>
      </c>
      <c r="D16" t="s">
        <v>159</v>
      </c>
      <c r="E16">
        <v>157200000</v>
      </c>
      <c r="F16" s="5">
        <v>159700000</v>
      </c>
      <c r="G16" s="5">
        <v>2500000</v>
      </c>
      <c r="H16" s="5">
        <v>15720000</v>
      </c>
      <c r="I16" s="5">
        <v>15970000</v>
      </c>
      <c r="J16" s="5">
        <v>160800000</v>
      </c>
      <c r="K16" s="5">
        <v>162800000</v>
      </c>
      <c r="L16" s="5">
        <v>0.97916666666666663</v>
      </c>
      <c r="M16" s="7">
        <v>4615.3999999999996</v>
      </c>
      <c r="N16" s="5">
        <v>160800000</v>
      </c>
      <c r="O16" s="5">
        <v>162800000</v>
      </c>
      <c r="P16" s="3">
        <v>0.97916666666666663</v>
      </c>
    </row>
    <row r="17" spans="1:16" x14ac:dyDescent="0.25">
      <c r="A17" t="s">
        <v>26</v>
      </c>
      <c r="B17" s="2">
        <v>46038</v>
      </c>
      <c r="C17" t="s">
        <v>17</v>
      </c>
      <c r="D17" t="s">
        <v>159</v>
      </c>
      <c r="E17">
        <v>157200000</v>
      </c>
      <c r="F17" s="5">
        <v>159700000</v>
      </c>
      <c r="G17" s="5">
        <v>2500000</v>
      </c>
      <c r="H17" s="5">
        <v>15720000</v>
      </c>
      <c r="I17" s="5">
        <v>15970000</v>
      </c>
      <c r="J17" s="5">
        <v>160800000</v>
      </c>
      <c r="K17" s="5">
        <v>162800000</v>
      </c>
      <c r="L17" s="5">
        <v>0.97916666666666663</v>
      </c>
      <c r="M17" s="7">
        <v>4594.3</v>
      </c>
      <c r="N17" s="5">
        <v>160800000</v>
      </c>
      <c r="O17" s="5">
        <v>162800000</v>
      </c>
      <c r="P17" s="3">
        <v>0.97916666666666663</v>
      </c>
    </row>
    <row r="18" spans="1:16" x14ac:dyDescent="0.25">
      <c r="A18" t="s">
        <v>27</v>
      </c>
      <c r="B18" s="2">
        <v>46039</v>
      </c>
      <c r="C18" t="s">
        <v>18</v>
      </c>
      <c r="D18" t="s">
        <v>159</v>
      </c>
      <c r="E18">
        <v>157200000</v>
      </c>
      <c r="F18" s="5">
        <v>159700000</v>
      </c>
      <c r="G18" s="5">
        <v>2500000</v>
      </c>
      <c r="H18" s="5">
        <v>15720000</v>
      </c>
      <c r="I18" s="5">
        <v>15970000</v>
      </c>
      <c r="J18" s="5">
        <v>160800000</v>
      </c>
      <c r="K18" s="5">
        <v>162800000</v>
      </c>
      <c r="L18" s="5">
        <v>0.22916666666666666</v>
      </c>
      <c r="M18" s="7">
        <v>4598</v>
      </c>
      <c r="N18" s="5">
        <v>160800000</v>
      </c>
      <c r="O18" s="5">
        <v>162800000</v>
      </c>
      <c r="P18" s="3">
        <v>0.22916666666666666</v>
      </c>
    </row>
    <row r="19" spans="1:16" x14ac:dyDescent="0.25">
      <c r="A19" t="s">
        <v>28</v>
      </c>
      <c r="B19" s="2">
        <v>46040</v>
      </c>
      <c r="C19" t="s">
        <v>19</v>
      </c>
      <c r="D19" t="s">
        <v>159</v>
      </c>
      <c r="E19">
        <v>157200000</v>
      </c>
      <c r="F19" s="5">
        <v>159700000</v>
      </c>
      <c r="G19" s="5">
        <v>2500000</v>
      </c>
      <c r="H19" s="5">
        <v>15720000</v>
      </c>
      <c r="I19" s="5">
        <v>15970000</v>
      </c>
      <c r="J19" s="5">
        <v>160800000</v>
      </c>
      <c r="K19" s="5">
        <v>162800000</v>
      </c>
      <c r="L19" s="5">
        <v>0</v>
      </c>
      <c r="M19" s="7">
        <v>4598</v>
      </c>
      <c r="N19" s="5">
        <v>160800000</v>
      </c>
      <c r="O19" s="5">
        <v>162800000</v>
      </c>
      <c r="P19" s="3">
        <v>0</v>
      </c>
    </row>
    <row r="20" spans="1:16" x14ac:dyDescent="0.25">
      <c r="A20" t="s">
        <v>29</v>
      </c>
      <c r="B20" s="2">
        <v>46041</v>
      </c>
      <c r="C20" t="s">
        <v>20</v>
      </c>
      <c r="D20" t="s">
        <v>159</v>
      </c>
      <c r="E20">
        <v>159700000</v>
      </c>
      <c r="F20" s="5">
        <v>162200000</v>
      </c>
      <c r="G20" s="5">
        <v>2500000</v>
      </c>
      <c r="H20" s="5">
        <v>15970000</v>
      </c>
      <c r="I20" s="5">
        <v>16220000</v>
      </c>
      <c r="J20" s="5">
        <v>163000000</v>
      </c>
      <c r="K20" s="5">
        <v>165000000</v>
      </c>
      <c r="L20" s="5">
        <v>0.97916666666666663</v>
      </c>
      <c r="M20" s="7">
        <v>4672.8999999999996</v>
      </c>
      <c r="N20" s="5">
        <v>163000000</v>
      </c>
      <c r="O20" s="5">
        <v>165000000</v>
      </c>
      <c r="P20" s="3">
        <v>0.97916666666666663</v>
      </c>
    </row>
    <row r="21" spans="1:16" x14ac:dyDescent="0.25">
      <c r="A21" t="s">
        <v>30</v>
      </c>
      <c r="B21" s="2">
        <v>46042</v>
      </c>
      <c r="C21" t="s">
        <v>21</v>
      </c>
      <c r="D21" t="s">
        <v>159</v>
      </c>
      <c r="E21">
        <v>161000000</v>
      </c>
      <c r="F21" s="5">
        <v>163500000</v>
      </c>
      <c r="G21" s="5">
        <v>2500000</v>
      </c>
      <c r="H21" s="5">
        <v>16100000</v>
      </c>
      <c r="I21" s="5">
        <v>16350000</v>
      </c>
      <c r="J21" s="5">
        <v>164100000</v>
      </c>
      <c r="K21" s="5">
        <v>166100000</v>
      </c>
      <c r="L21" s="5">
        <v>0.97916666666666663</v>
      </c>
      <c r="M21" s="7">
        <v>4743.3</v>
      </c>
      <c r="N21" s="5">
        <v>164100000</v>
      </c>
      <c r="O21" s="5">
        <v>166100000</v>
      </c>
      <c r="P21" s="3">
        <v>0.97916666666666663</v>
      </c>
    </row>
    <row r="22" spans="1:16" x14ac:dyDescent="0.25">
      <c r="A22" t="s">
        <v>31</v>
      </c>
      <c r="B22" s="2">
        <v>46043</v>
      </c>
      <c r="C22" t="s">
        <v>22</v>
      </c>
      <c r="D22" t="s">
        <v>159</v>
      </c>
      <c r="E22">
        <v>165900000</v>
      </c>
      <c r="F22" s="5">
        <v>168400000</v>
      </c>
      <c r="G22" s="5">
        <v>2500000</v>
      </c>
      <c r="H22" s="5">
        <v>16590000</v>
      </c>
      <c r="I22" s="5">
        <v>16840000</v>
      </c>
      <c r="J22" s="5">
        <v>168500000</v>
      </c>
      <c r="K22" s="5">
        <v>170500000</v>
      </c>
      <c r="L22" s="5">
        <v>0.97916666666666663</v>
      </c>
      <c r="M22" s="7">
        <v>4839.2</v>
      </c>
      <c r="N22" s="5">
        <v>168500000</v>
      </c>
      <c r="O22" s="5">
        <v>170500000</v>
      </c>
      <c r="P22" s="3">
        <v>0.97916666666666663</v>
      </c>
    </row>
    <row r="23" spans="1:16" x14ac:dyDescent="0.25">
      <c r="A23" t="s">
        <v>32</v>
      </c>
      <c r="B23" s="2">
        <v>46044</v>
      </c>
      <c r="C23" t="s">
        <v>16</v>
      </c>
      <c r="D23" t="s">
        <v>159</v>
      </c>
      <c r="E23">
        <v>165200000</v>
      </c>
      <c r="F23" s="5">
        <v>167700000</v>
      </c>
      <c r="G23" s="5">
        <v>2500000</v>
      </c>
      <c r="H23" s="5">
        <v>16520000</v>
      </c>
      <c r="I23" s="5">
        <v>16770000</v>
      </c>
      <c r="J23" s="5">
        <v>167300000</v>
      </c>
      <c r="K23" s="5">
        <v>169300000</v>
      </c>
      <c r="L23" s="5">
        <v>0.97916666666666663</v>
      </c>
      <c r="M23" s="7">
        <v>4879.2</v>
      </c>
      <c r="N23" s="5">
        <v>167300000</v>
      </c>
      <c r="O23" s="5">
        <v>169300000</v>
      </c>
      <c r="P23" s="3">
        <v>0.97916666666666663</v>
      </c>
    </row>
    <row r="24" spans="1:16" x14ac:dyDescent="0.25">
      <c r="A24" t="s">
        <v>33</v>
      </c>
      <c r="B24" s="2">
        <v>46045</v>
      </c>
      <c r="C24" t="s">
        <v>17</v>
      </c>
      <c r="D24" t="s">
        <v>159</v>
      </c>
      <c r="E24">
        <v>168300000</v>
      </c>
      <c r="F24" s="5">
        <v>170800000</v>
      </c>
      <c r="G24" s="5">
        <v>2500000</v>
      </c>
      <c r="H24" s="5">
        <v>16830000</v>
      </c>
      <c r="I24" s="5">
        <v>17080000</v>
      </c>
      <c r="J24" s="5">
        <v>170200000</v>
      </c>
      <c r="K24" s="5">
        <v>172200000</v>
      </c>
      <c r="L24" s="5">
        <v>0.97916666666666663</v>
      </c>
      <c r="M24" s="7">
        <v>4986.8</v>
      </c>
      <c r="N24" s="5">
        <v>170200000</v>
      </c>
      <c r="O24" s="5">
        <v>172200000</v>
      </c>
      <c r="P24" s="3">
        <v>0.97916666666666663</v>
      </c>
    </row>
    <row r="25" spans="1:16" x14ac:dyDescent="0.25">
      <c r="A25" t="s">
        <v>34</v>
      </c>
      <c r="B25" s="2">
        <v>46046</v>
      </c>
      <c r="C25" t="s">
        <v>18</v>
      </c>
      <c r="D25" t="s">
        <v>159</v>
      </c>
      <c r="E25">
        <v>170500000</v>
      </c>
      <c r="F25" s="5">
        <v>173000000</v>
      </c>
      <c r="G25" s="5">
        <v>2500000</v>
      </c>
      <c r="H25" s="5">
        <v>17050000</v>
      </c>
      <c r="I25" s="5">
        <v>17300000</v>
      </c>
      <c r="J25" s="5">
        <v>172300000</v>
      </c>
      <c r="K25" s="5">
        <v>174300000</v>
      </c>
      <c r="L25" s="5">
        <v>0.39583333333333331</v>
      </c>
      <c r="M25" s="7">
        <v>4985.1000000000004</v>
      </c>
      <c r="N25" s="5">
        <v>172300000</v>
      </c>
      <c r="O25" s="5">
        <v>174300000</v>
      </c>
      <c r="P25" s="3">
        <v>0.39583333333333331</v>
      </c>
    </row>
    <row r="26" spans="1:16" x14ac:dyDescent="0.25">
      <c r="A26" t="s">
        <v>35</v>
      </c>
      <c r="B26" s="2">
        <v>46047</v>
      </c>
      <c r="C26" t="s">
        <v>19</v>
      </c>
      <c r="D26" t="s">
        <v>159</v>
      </c>
      <c r="E26">
        <v>170500000</v>
      </c>
      <c r="F26" s="5">
        <v>173000000</v>
      </c>
      <c r="G26" s="5">
        <v>2500000</v>
      </c>
      <c r="H26" s="5">
        <v>17050000</v>
      </c>
      <c r="I26" s="5">
        <v>17300000</v>
      </c>
      <c r="J26" s="5">
        <v>172300000</v>
      </c>
      <c r="K26" s="5">
        <v>174300000</v>
      </c>
      <c r="L26" s="5">
        <v>0</v>
      </c>
      <c r="M26" s="7">
        <v>4985.1000000000004</v>
      </c>
      <c r="N26" s="5">
        <v>172300000</v>
      </c>
      <c r="O26" s="5">
        <v>174300000</v>
      </c>
      <c r="P26" s="3">
        <v>0</v>
      </c>
    </row>
    <row r="27" spans="1:16" x14ac:dyDescent="0.25">
      <c r="A27" t="s">
        <v>36</v>
      </c>
      <c r="B27" s="2">
        <v>46048</v>
      </c>
      <c r="C27" t="s">
        <v>20</v>
      </c>
      <c r="D27" t="s">
        <v>159</v>
      </c>
      <c r="E27">
        <v>173500000</v>
      </c>
      <c r="F27" s="5">
        <v>176000000</v>
      </c>
      <c r="G27" s="5">
        <v>2500000</v>
      </c>
      <c r="H27" s="5">
        <v>17350000</v>
      </c>
      <c r="I27" s="5">
        <v>17600000</v>
      </c>
      <c r="J27" s="5">
        <v>175000000</v>
      </c>
      <c r="K27" s="5">
        <v>177000000</v>
      </c>
      <c r="L27" s="5">
        <v>0.97916666666666663</v>
      </c>
      <c r="M27" s="7">
        <v>5083.5</v>
      </c>
      <c r="N27" s="5">
        <v>175000000</v>
      </c>
      <c r="O27" s="5">
        <v>177000000</v>
      </c>
      <c r="P27" s="3">
        <v>0.97916666666666663</v>
      </c>
    </row>
    <row r="28" spans="1:16" x14ac:dyDescent="0.25">
      <c r="A28" t="s">
        <v>37</v>
      </c>
      <c r="B28" s="2">
        <v>46049</v>
      </c>
      <c r="C28" t="s">
        <v>21</v>
      </c>
      <c r="D28" t="s">
        <v>159</v>
      </c>
      <c r="E28">
        <v>174100000</v>
      </c>
      <c r="F28" s="5">
        <v>176600000</v>
      </c>
      <c r="G28" s="5">
        <v>2500000</v>
      </c>
      <c r="H28" s="5">
        <v>17410000</v>
      </c>
      <c r="I28" s="5">
        <v>17660000</v>
      </c>
      <c r="J28" s="5">
        <v>175300000</v>
      </c>
      <c r="K28" s="5">
        <v>177300000</v>
      </c>
      <c r="L28" s="5">
        <v>0.97916666666666663</v>
      </c>
      <c r="M28" s="7">
        <v>5096.5</v>
      </c>
      <c r="N28" s="5">
        <v>175300000</v>
      </c>
      <c r="O28" s="5">
        <v>177300000</v>
      </c>
      <c r="P28" s="3">
        <v>0.97916666666666663</v>
      </c>
    </row>
    <row r="29" spans="1:16" x14ac:dyDescent="0.25">
      <c r="A29" t="s">
        <v>38</v>
      </c>
      <c r="B29" s="2">
        <v>46050</v>
      </c>
      <c r="C29" t="s">
        <v>22</v>
      </c>
      <c r="D29" t="s">
        <v>159</v>
      </c>
      <c r="E29">
        <v>180700000</v>
      </c>
      <c r="F29" s="5">
        <v>183700000</v>
      </c>
      <c r="G29" s="5">
        <v>3000000</v>
      </c>
      <c r="H29" s="5">
        <v>18070000</v>
      </c>
      <c r="I29" s="5">
        <v>18370000</v>
      </c>
      <c r="J29" s="5">
        <v>181700000</v>
      </c>
      <c r="K29" s="5">
        <v>184200000</v>
      </c>
      <c r="L29" s="5">
        <v>0.97916666666666663</v>
      </c>
      <c r="M29" s="7">
        <v>5288</v>
      </c>
      <c r="N29" s="5">
        <v>181700000</v>
      </c>
      <c r="O29" s="5">
        <v>184200000</v>
      </c>
      <c r="P29" s="3">
        <v>0.97916666666666663</v>
      </c>
    </row>
    <row r="30" spans="1:16" x14ac:dyDescent="0.25">
      <c r="A30" t="s">
        <v>39</v>
      </c>
      <c r="B30" s="2">
        <v>46051</v>
      </c>
      <c r="C30" t="s">
        <v>16</v>
      </c>
      <c r="D30" t="s">
        <v>159</v>
      </c>
      <c r="E30">
        <v>186300000</v>
      </c>
      <c r="F30" s="5">
        <v>189300000</v>
      </c>
      <c r="G30" s="5">
        <v>3000000</v>
      </c>
      <c r="H30" s="5">
        <v>18630000</v>
      </c>
      <c r="I30" s="5">
        <v>18930000</v>
      </c>
      <c r="J30" s="5">
        <v>186600000</v>
      </c>
      <c r="K30" s="5">
        <v>189600000</v>
      </c>
      <c r="L30" s="5">
        <v>0.97916666666666663</v>
      </c>
      <c r="M30" s="7">
        <v>5290.9</v>
      </c>
      <c r="N30" s="5">
        <v>186600000</v>
      </c>
      <c r="O30" s="5">
        <v>189600000</v>
      </c>
      <c r="P30" s="3">
        <v>0.97916666666666663</v>
      </c>
    </row>
    <row r="31" spans="1:16" x14ac:dyDescent="0.25">
      <c r="A31" t="s">
        <v>40</v>
      </c>
      <c r="B31" s="2">
        <v>46052</v>
      </c>
      <c r="C31" t="s">
        <v>17</v>
      </c>
      <c r="D31" t="s">
        <v>159</v>
      </c>
      <c r="E31">
        <v>177000000</v>
      </c>
      <c r="F31" s="5">
        <v>180000000</v>
      </c>
      <c r="G31" s="5">
        <v>3000000</v>
      </c>
      <c r="H31" s="5">
        <v>17700000</v>
      </c>
      <c r="I31" s="5">
        <v>18000000</v>
      </c>
      <c r="J31" s="5">
        <v>178000000</v>
      </c>
      <c r="K31" s="5">
        <v>181000000</v>
      </c>
      <c r="L31" s="5">
        <v>0.97916666666666663</v>
      </c>
      <c r="M31" s="7">
        <v>5001.8999999999996</v>
      </c>
      <c r="N31" s="5">
        <v>178000000</v>
      </c>
      <c r="O31" s="5">
        <v>181000000</v>
      </c>
      <c r="P31" s="3">
        <v>0.97916666666666663</v>
      </c>
    </row>
    <row r="32" spans="1:16" x14ac:dyDescent="0.25">
      <c r="A32" t="s">
        <v>41</v>
      </c>
      <c r="B32" s="2">
        <v>46053</v>
      </c>
      <c r="C32" t="s">
        <v>18</v>
      </c>
      <c r="D32" t="s">
        <v>159</v>
      </c>
      <c r="E32">
        <v>168000000</v>
      </c>
      <c r="F32" s="5">
        <v>171000000</v>
      </c>
      <c r="G32" s="5">
        <v>3000000</v>
      </c>
      <c r="H32" s="5">
        <v>16800000</v>
      </c>
      <c r="I32" s="5">
        <v>17100000</v>
      </c>
      <c r="J32" s="5">
        <v>169000000</v>
      </c>
      <c r="K32" s="5">
        <v>172000000</v>
      </c>
      <c r="L32" s="5">
        <v>0.39583333333333331</v>
      </c>
      <c r="M32" s="7">
        <v>4891.3999999999996</v>
      </c>
      <c r="N32" s="5">
        <v>169000000</v>
      </c>
      <c r="O32" s="5">
        <v>172000000</v>
      </c>
      <c r="P32" s="3">
        <v>0.39583333333333331</v>
      </c>
    </row>
    <row r="33" spans="1:16" x14ac:dyDescent="0.25">
      <c r="A33" s="2">
        <v>46024</v>
      </c>
      <c r="B33" s="2">
        <v>46054</v>
      </c>
      <c r="C33" t="s">
        <v>19</v>
      </c>
      <c r="D33" t="s">
        <v>159</v>
      </c>
      <c r="E33">
        <v>168000000</v>
      </c>
      <c r="F33" s="5">
        <v>171000000</v>
      </c>
      <c r="G33" s="5">
        <v>3000000</v>
      </c>
      <c r="H33" s="5">
        <v>16800000</v>
      </c>
      <c r="I33" s="5">
        <v>17100000</v>
      </c>
      <c r="J33" s="5">
        <v>169000000</v>
      </c>
      <c r="K33" s="5">
        <v>172000000</v>
      </c>
      <c r="L33" s="5">
        <v>0.375</v>
      </c>
      <c r="M33" s="7">
        <v>4891.3999999999996</v>
      </c>
      <c r="N33" s="5">
        <v>169000000</v>
      </c>
      <c r="O33" s="5">
        <v>172000000</v>
      </c>
      <c r="P33" s="3">
        <v>0.375</v>
      </c>
    </row>
    <row r="34" spans="1:16" x14ac:dyDescent="0.25">
      <c r="A34" s="2">
        <v>46055</v>
      </c>
      <c r="B34" s="2">
        <v>46055</v>
      </c>
      <c r="C34" t="s">
        <v>20</v>
      </c>
      <c r="D34" t="s">
        <v>159</v>
      </c>
      <c r="E34">
        <v>162500000</v>
      </c>
      <c r="F34" s="5">
        <v>165500000</v>
      </c>
      <c r="G34" s="5">
        <v>3000000</v>
      </c>
      <c r="H34" s="5">
        <v>16250000</v>
      </c>
      <c r="I34" s="5">
        <v>16550000</v>
      </c>
      <c r="J34" s="5">
        <v>163000000</v>
      </c>
      <c r="K34" s="5">
        <v>166000000</v>
      </c>
      <c r="L34" s="5">
        <v>0.97916666666666663</v>
      </c>
      <c r="M34" s="7">
        <v>4667.3999999999996</v>
      </c>
      <c r="N34" s="5">
        <v>163000000</v>
      </c>
      <c r="O34" s="5">
        <v>166000000</v>
      </c>
      <c r="P34" s="3">
        <v>0.97916666666666663</v>
      </c>
    </row>
    <row r="35" spans="1:16" x14ac:dyDescent="0.25">
      <c r="A35" s="2">
        <v>46083</v>
      </c>
      <c r="B35" s="2">
        <v>46056</v>
      </c>
      <c r="C35" t="s">
        <v>21</v>
      </c>
      <c r="D35" t="s">
        <v>159</v>
      </c>
      <c r="E35">
        <v>171500000</v>
      </c>
      <c r="F35" s="5">
        <v>174500000</v>
      </c>
      <c r="G35" s="5">
        <v>3000000</v>
      </c>
      <c r="H35" s="5">
        <v>17150000</v>
      </c>
      <c r="I35" s="5">
        <v>17450000</v>
      </c>
      <c r="J35" s="5">
        <v>173500000</v>
      </c>
      <c r="K35" s="5">
        <v>176500000</v>
      </c>
      <c r="L35" s="5">
        <v>0.97916666666666663</v>
      </c>
      <c r="M35" s="7">
        <v>4979.3999999999996</v>
      </c>
      <c r="N35" s="5">
        <v>173500000</v>
      </c>
      <c r="O35" s="5">
        <v>176500000</v>
      </c>
      <c r="P35" s="3">
        <v>0.97916666666666663</v>
      </c>
    </row>
    <row r="36" spans="1:16" x14ac:dyDescent="0.25">
      <c r="A36" s="2">
        <v>46114</v>
      </c>
      <c r="B36" s="2">
        <v>46057</v>
      </c>
      <c r="C36" t="s">
        <v>22</v>
      </c>
      <c r="D36" t="s">
        <v>159</v>
      </c>
      <c r="E36">
        <v>176700000</v>
      </c>
      <c r="F36" s="5">
        <v>179700000</v>
      </c>
      <c r="G36" s="5">
        <v>3000000</v>
      </c>
      <c r="H36" s="5">
        <v>17670000</v>
      </c>
      <c r="I36" s="5">
        <v>17970000</v>
      </c>
      <c r="J36" s="5">
        <v>177200000</v>
      </c>
      <c r="K36" s="5">
        <v>180200000</v>
      </c>
      <c r="L36" s="5">
        <v>0.97916666666666663</v>
      </c>
      <c r="M36" s="7">
        <v>4922.6000000000004</v>
      </c>
      <c r="N36" s="5">
        <v>177200000</v>
      </c>
      <c r="O36" s="5">
        <v>180200000</v>
      </c>
      <c r="P36" s="3">
        <v>0.97916666666666663</v>
      </c>
    </row>
    <row r="37" spans="1:16" x14ac:dyDescent="0.25">
      <c r="A37" s="2">
        <v>46144</v>
      </c>
      <c r="B37" s="2">
        <v>46058</v>
      </c>
      <c r="C37" t="s">
        <v>16</v>
      </c>
      <c r="D37" t="s">
        <v>159</v>
      </c>
      <c r="E37">
        <v>171500000</v>
      </c>
      <c r="F37" s="5">
        <v>174500000</v>
      </c>
      <c r="G37" s="5">
        <v>3000000</v>
      </c>
      <c r="H37" s="5">
        <v>17150000</v>
      </c>
      <c r="I37" s="5">
        <v>17450000</v>
      </c>
      <c r="J37" s="5">
        <v>174200000</v>
      </c>
      <c r="K37" s="5">
        <v>177200000</v>
      </c>
      <c r="L37" s="5">
        <v>0.97916666666666663</v>
      </c>
      <c r="M37" s="7">
        <v>4855.7</v>
      </c>
      <c r="N37" s="5">
        <v>174200000</v>
      </c>
      <c r="O37" s="5">
        <v>177200000</v>
      </c>
      <c r="P37" s="3">
        <v>0.97916666666666663</v>
      </c>
    </row>
    <row r="38" spans="1:16" x14ac:dyDescent="0.25">
      <c r="A38" s="2">
        <v>46175</v>
      </c>
      <c r="B38" s="2">
        <v>46059</v>
      </c>
      <c r="C38" t="s">
        <v>17</v>
      </c>
      <c r="D38" t="s">
        <v>159</v>
      </c>
      <c r="E38">
        <v>173000000</v>
      </c>
      <c r="F38" s="5">
        <v>176000000</v>
      </c>
      <c r="G38" s="5">
        <v>3000000</v>
      </c>
      <c r="H38" s="5">
        <v>17300000</v>
      </c>
      <c r="I38" s="5">
        <v>17600000</v>
      </c>
      <c r="J38" s="5">
        <v>173500000</v>
      </c>
      <c r="K38" s="5">
        <v>176500000</v>
      </c>
      <c r="L38" s="5">
        <v>0.97916666666666663</v>
      </c>
      <c r="M38" s="7">
        <v>4939.3999999999996</v>
      </c>
      <c r="N38" s="5">
        <v>173500000</v>
      </c>
      <c r="O38" s="5">
        <v>176500000</v>
      </c>
      <c r="P38" s="3">
        <v>0.97916666666666663</v>
      </c>
    </row>
    <row r="39" spans="1:16" x14ac:dyDescent="0.25">
      <c r="A39" s="2">
        <v>46205</v>
      </c>
      <c r="B39" s="2">
        <v>46060</v>
      </c>
      <c r="C39" t="s">
        <v>18</v>
      </c>
      <c r="D39" t="s">
        <v>159</v>
      </c>
      <c r="E39">
        <v>175800000</v>
      </c>
      <c r="F39" s="5">
        <v>178800000</v>
      </c>
      <c r="G39" s="5">
        <v>3000000</v>
      </c>
      <c r="H39" s="5">
        <v>17580000</v>
      </c>
      <c r="I39" s="5">
        <v>17880000</v>
      </c>
      <c r="J39" s="5">
        <v>176300000</v>
      </c>
      <c r="K39" s="5">
        <v>179300000</v>
      </c>
      <c r="L39" s="5">
        <v>0.39583333333333331</v>
      </c>
      <c r="M39" s="7">
        <v>4968</v>
      </c>
      <c r="N39" s="5">
        <v>176300000</v>
      </c>
      <c r="O39" s="5">
        <v>179300000</v>
      </c>
      <c r="P39" s="3">
        <v>0.39583333333333331</v>
      </c>
    </row>
    <row r="40" spans="1:16" x14ac:dyDescent="0.25">
      <c r="A40" s="2">
        <v>46236</v>
      </c>
      <c r="B40" s="2">
        <v>46061</v>
      </c>
      <c r="C40" t="s">
        <v>19</v>
      </c>
      <c r="D40" t="s">
        <v>159</v>
      </c>
      <c r="E40">
        <v>175800000</v>
      </c>
      <c r="F40" s="5">
        <v>178800000</v>
      </c>
      <c r="G40" s="5">
        <v>3000000</v>
      </c>
      <c r="H40" s="5">
        <v>17580000</v>
      </c>
      <c r="I40" s="5">
        <v>17880000</v>
      </c>
      <c r="J40" s="5">
        <v>176300000</v>
      </c>
      <c r="K40" s="5">
        <v>179300000</v>
      </c>
      <c r="L40" s="5">
        <v>0</v>
      </c>
      <c r="M40" s="7">
        <v>4968</v>
      </c>
      <c r="N40" s="5">
        <v>176300000</v>
      </c>
      <c r="O40" s="5">
        <v>179300000</v>
      </c>
      <c r="P40" s="3">
        <v>0</v>
      </c>
    </row>
    <row r="41" spans="1:16" x14ac:dyDescent="0.25">
      <c r="A41" s="2">
        <v>46267</v>
      </c>
      <c r="B41" s="2">
        <v>46062</v>
      </c>
      <c r="C41" t="s">
        <v>20</v>
      </c>
      <c r="D41" t="s">
        <v>159</v>
      </c>
      <c r="E41">
        <v>176900000</v>
      </c>
      <c r="F41" s="5">
        <v>179900000</v>
      </c>
      <c r="G41" s="5">
        <v>3000000</v>
      </c>
      <c r="H41" s="5">
        <v>17690000</v>
      </c>
      <c r="I41" s="5">
        <v>17990000</v>
      </c>
      <c r="J41" s="5">
        <v>177400000</v>
      </c>
      <c r="K41" s="5">
        <v>180400000</v>
      </c>
      <c r="L41" s="5">
        <v>0.97916666666666663</v>
      </c>
      <c r="M41" s="7">
        <v>5075</v>
      </c>
      <c r="N41" s="5">
        <v>177400000</v>
      </c>
      <c r="O41" s="5">
        <v>180400000</v>
      </c>
      <c r="P41" s="3">
        <v>0.97916666666666663</v>
      </c>
    </row>
    <row r="42" spans="1:16" x14ac:dyDescent="0.25">
      <c r="A42" s="2">
        <v>46297</v>
      </c>
      <c r="B42" s="2">
        <v>46063</v>
      </c>
      <c r="C42" t="s">
        <v>21</v>
      </c>
      <c r="D42" t="s">
        <v>159</v>
      </c>
      <c r="E42">
        <v>177500000</v>
      </c>
      <c r="F42" s="5">
        <v>180500000</v>
      </c>
      <c r="G42" s="5">
        <v>3000000</v>
      </c>
      <c r="H42" s="5">
        <v>17750000</v>
      </c>
      <c r="I42" s="5">
        <v>18050000</v>
      </c>
      <c r="J42" s="5">
        <v>178000000</v>
      </c>
      <c r="K42" s="5">
        <v>181000000</v>
      </c>
      <c r="L42" s="5">
        <v>0.97916666666666663</v>
      </c>
      <c r="M42" s="7">
        <v>5018.1000000000004</v>
      </c>
      <c r="N42" s="5">
        <v>178000000</v>
      </c>
      <c r="O42" s="5">
        <v>181000000</v>
      </c>
      <c r="P42" s="3">
        <v>0.97916666666666663</v>
      </c>
    </row>
    <row r="43" spans="1:16" x14ac:dyDescent="0.25">
      <c r="A43" s="2">
        <v>46328</v>
      </c>
      <c r="B43" s="2">
        <v>46064</v>
      </c>
      <c r="C43" t="s">
        <v>22</v>
      </c>
      <c r="D43" t="s">
        <v>159</v>
      </c>
      <c r="E43">
        <v>177500000</v>
      </c>
      <c r="F43" s="5">
        <v>180500000</v>
      </c>
      <c r="G43" s="5">
        <v>3000000</v>
      </c>
      <c r="H43" s="5">
        <v>17750000</v>
      </c>
      <c r="I43" s="5">
        <v>18050000</v>
      </c>
      <c r="J43" s="5">
        <v>178000000</v>
      </c>
      <c r="K43" s="5">
        <v>181000000</v>
      </c>
      <c r="L43" s="5">
        <v>0.97916666666666663</v>
      </c>
      <c r="M43" s="7">
        <v>5061.3</v>
      </c>
      <c r="N43" s="5">
        <v>178000000</v>
      </c>
      <c r="O43" s="5">
        <v>181000000</v>
      </c>
      <c r="P43" s="3">
        <v>0.97916666666666663</v>
      </c>
    </row>
    <row r="44" spans="1:16" x14ac:dyDescent="0.25">
      <c r="A44" s="2">
        <v>46358</v>
      </c>
      <c r="B44" s="2">
        <v>46065</v>
      </c>
      <c r="C44" t="s">
        <v>16</v>
      </c>
      <c r="D44" t="s">
        <v>159</v>
      </c>
      <c r="E44">
        <v>177500000</v>
      </c>
      <c r="F44" s="5">
        <v>180500000</v>
      </c>
      <c r="G44" s="5">
        <v>3000000</v>
      </c>
      <c r="H44" s="5">
        <v>17750000</v>
      </c>
      <c r="I44" s="5">
        <v>18050000</v>
      </c>
      <c r="J44" s="5">
        <v>178000000</v>
      </c>
      <c r="K44" s="5">
        <v>181000000</v>
      </c>
      <c r="L44" s="5">
        <v>0.97916666666666663</v>
      </c>
      <c r="M44" s="7">
        <v>4885</v>
      </c>
      <c r="N44" s="5">
        <v>178000000</v>
      </c>
      <c r="O44" s="5">
        <v>181000000</v>
      </c>
      <c r="P44" s="3">
        <v>0.97916666666666663</v>
      </c>
    </row>
    <row r="45" spans="1:16" x14ac:dyDescent="0.25">
      <c r="A45" t="s">
        <v>42</v>
      </c>
      <c r="B45" s="2">
        <v>46066</v>
      </c>
      <c r="C45" t="s">
        <v>17</v>
      </c>
      <c r="D45" t="s">
        <v>159</v>
      </c>
      <c r="E45">
        <v>175500000</v>
      </c>
      <c r="F45" s="5">
        <v>178500000</v>
      </c>
      <c r="G45" s="5">
        <v>3000000</v>
      </c>
      <c r="H45" s="5">
        <v>17550000</v>
      </c>
      <c r="I45" s="5">
        <v>17850000</v>
      </c>
      <c r="J45" s="5">
        <v>176000000</v>
      </c>
      <c r="K45" s="5">
        <v>179000000</v>
      </c>
      <c r="L45" s="5">
        <v>0.97916666666666663</v>
      </c>
      <c r="M45" s="7">
        <v>5024.7</v>
      </c>
      <c r="N45" s="5">
        <v>176000000</v>
      </c>
      <c r="O45" s="5">
        <v>179000000</v>
      </c>
      <c r="P45" s="3">
        <v>0.97916666666666663</v>
      </c>
    </row>
    <row r="46" spans="1:16" x14ac:dyDescent="0.25">
      <c r="A46" t="s">
        <v>43</v>
      </c>
      <c r="B46" s="2">
        <v>46067</v>
      </c>
      <c r="C46" t="s">
        <v>18</v>
      </c>
      <c r="D46" t="s">
        <v>159</v>
      </c>
      <c r="E46">
        <v>177500000</v>
      </c>
      <c r="F46" s="5">
        <v>180500000</v>
      </c>
      <c r="G46" s="5">
        <v>3000000</v>
      </c>
      <c r="H46" s="5">
        <v>17750000</v>
      </c>
      <c r="I46" s="5">
        <v>18050000</v>
      </c>
      <c r="J46" s="5">
        <v>178000000</v>
      </c>
      <c r="K46" s="5">
        <v>181000000</v>
      </c>
      <c r="L46" s="5">
        <v>0.39583333333333331</v>
      </c>
      <c r="M46" s="7">
        <v>5043.2</v>
      </c>
      <c r="N46" s="5">
        <v>178000000</v>
      </c>
      <c r="O46" s="5">
        <v>181000000</v>
      </c>
      <c r="P46" s="3">
        <v>0.39583333333333331</v>
      </c>
    </row>
    <row r="47" spans="1:16" x14ac:dyDescent="0.25">
      <c r="A47" t="s">
        <v>44</v>
      </c>
      <c r="B47" s="2">
        <v>46068</v>
      </c>
      <c r="C47" t="s">
        <v>19</v>
      </c>
      <c r="D47" t="s">
        <v>159</v>
      </c>
      <c r="E47">
        <v>177500000</v>
      </c>
      <c r="F47" s="5">
        <v>180500000</v>
      </c>
      <c r="G47" s="5">
        <v>3000000</v>
      </c>
      <c r="H47" s="5">
        <v>17750000</v>
      </c>
      <c r="I47" s="5">
        <v>18050000</v>
      </c>
      <c r="J47" s="5">
        <v>178000000</v>
      </c>
      <c r="K47" s="5">
        <v>181000000</v>
      </c>
      <c r="L47" s="5">
        <v>0</v>
      </c>
      <c r="M47" s="7">
        <v>5043.2</v>
      </c>
      <c r="N47" s="5">
        <v>178000000</v>
      </c>
      <c r="O47" s="5">
        <v>181000000</v>
      </c>
      <c r="P47" s="3">
        <v>0</v>
      </c>
    </row>
    <row r="48" spans="1:16" x14ac:dyDescent="0.25">
      <c r="A48" t="s">
        <v>45</v>
      </c>
      <c r="B48" s="2">
        <v>46069</v>
      </c>
      <c r="C48" t="s">
        <v>20</v>
      </c>
      <c r="D48" t="s">
        <v>159</v>
      </c>
      <c r="E48">
        <v>177500000</v>
      </c>
      <c r="F48" s="5">
        <v>180500000</v>
      </c>
      <c r="G48" s="5">
        <v>3000000</v>
      </c>
      <c r="H48" s="5">
        <v>17750000</v>
      </c>
      <c r="I48" s="5">
        <v>18050000</v>
      </c>
      <c r="J48" s="5">
        <v>178000000</v>
      </c>
      <c r="K48" s="5">
        <v>181000000</v>
      </c>
      <c r="L48" s="5">
        <v>0.97916666666666663</v>
      </c>
      <c r="M48" s="7">
        <v>4987.3999999999996</v>
      </c>
      <c r="N48" s="5">
        <v>178000000</v>
      </c>
      <c r="O48" s="5">
        <v>181000000</v>
      </c>
      <c r="P48" s="3">
        <v>0.97916666666666663</v>
      </c>
    </row>
    <row r="49" spans="1:16" x14ac:dyDescent="0.25">
      <c r="A49" t="s">
        <v>46</v>
      </c>
      <c r="B49" s="2">
        <v>46070</v>
      </c>
      <c r="C49" t="s">
        <v>21</v>
      </c>
      <c r="D49" t="s">
        <v>159</v>
      </c>
      <c r="E49">
        <v>177500000</v>
      </c>
      <c r="F49" s="5">
        <v>180500000</v>
      </c>
      <c r="G49" s="5">
        <v>3000000</v>
      </c>
      <c r="H49" s="5">
        <v>17750000</v>
      </c>
      <c r="I49" s="5">
        <v>18050000</v>
      </c>
      <c r="J49" s="5">
        <v>178000000</v>
      </c>
      <c r="K49" s="5">
        <v>181000000</v>
      </c>
      <c r="L49" s="5">
        <v>0.97916666666666663</v>
      </c>
      <c r="M49" s="7">
        <v>4886.8999999999996</v>
      </c>
      <c r="N49" s="5">
        <v>178000000</v>
      </c>
      <c r="O49" s="5">
        <v>181000000</v>
      </c>
      <c r="P49" s="3">
        <v>0.97916666666666663</v>
      </c>
    </row>
    <row r="50" spans="1:16" x14ac:dyDescent="0.25">
      <c r="A50" t="s">
        <v>47</v>
      </c>
      <c r="B50" s="2">
        <v>46071</v>
      </c>
      <c r="C50" t="s">
        <v>22</v>
      </c>
      <c r="D50" t="s">
        <v>159</v>
      </c>
      <c r="E50">
        <v>177500000</v>
      </c>
      <c r="F50" s="5">
        <v>180500000</v>
      </c>
      <c r="G50" s="5">
        <v>3000000</v>
      </c>
      <c r="H50" s="5">
        <v>17750000</v>
      </c>
      <c r="I50" s="5">
        <v>18050000</v>
      </c>
      <c r="J50" s="5">
        <v>178000000</v>
      </c>
      <c r="K50" s="5">
        <v>181000000</v>
      </c>
      <c r="L50" s="5">
        <v>0.97916666666666663</v>
      </c>
      <c r="M50" s="7">
        <v>4995.7</v>
      </c>
      <c r="N50" s="5">
        <v>178000000</v>
      </c>
      <c r="O50" s="5">
        <v>181000000</v>
      </c>
      <c r="P50" s="3">
        <v>0.97916666666666663</v>
      </c>
    </row>
    <row r="51" spans="1:16" x14ac:dyDescent="0.25">
      <c r="A51" t="s">
        <v>48</v>
      </c>
      <c r="B51" s="2">
        <v>46072</v>
      </c>
      <c r="C51" t="s">
        <v>16</v>
      </c>
      <c r="D51" t="s">
        <v>159</v>
      </c>
      <c r="E51">
        <v>177500000</v>
      </c>
      <c r="F51" s="5">
        <v>180500000</v>
      </c>
      <c r="G51" s="5">
        <v>3000000</v>
      </c>
      <c r="H51" s="5">
        <v>17750000</v>
      </c>
      <c r="I51" s="5">
        <v>18050000</v>
      </c>
      <c r="J51" s="5">
        <v>178000000</v>
      </c>
      <c r="K51" s="5">
        <v>181000000</v>
      </c>
      <c r="L51" s="5">
        <v>0.97916666666666663</v>
      </c>
      <c r="M51" s="7">
        <v>4999.3</v>
      </c>
      <c r="N51" s="5">
        <v>178000000</v>
      </c>
      <c r="O51" s="5">
        <v>181000000</v>
      </c>
      <c r="P51" s="3">
        <v>0.97916666666666663</v>
      </c>
    </row>
    <row r="52" spans="1:16" x14ac:dyDescent="0.25">
      <c r="A52" t="s">
        <v>49</v>
      </c>
      <c r="B52" s="2">
        <v>46073</v>
      </c>
      <c r="C52" t="s">
        <v>17</v>
      </c>
      <c r="D52" t="s">
        <v>159</v>
      </c>
      <c r="E52">
        <v>177500000</v>
      </c>
      <c r="F52" s="5">
        <v>180500000</v>
      </c>
      <c r="G52" s="5">
        <v>3000000</v>
      </c>
      <c r="H52" s="5">
        <v>17750000</v>
      </c>
      <c r="I52" s="5">
        <v>18050000</v>
      </c>
      <c r="J52" s="5">
        <v>178000000</v>
      </c>
      <c r="K52" s="5">
        <v>181000000</v>
      </c>
      <c r="L52" s="5">
        <v>0.97916666666666663</v>
      </c>
      <c r="M52" s="7">
        <v>5053.1000000000004</v>
      </c>
      <c r="N52" s="5">
        <v>178000000</v>
      </c>
      <c r="O52" s="5">
        <v>181000000</v>
      </c>
      <c r="P52" s="3">
        <v>0.97916666666666663</v>
      </c>
    </row>
    <row r="53" spans="1:16" x14ac:dyDescent="0.25">
      <c r="A53" t="s">
        <v>50</v>
      </c>
      <c r="B53" s="2">
        <v>46074</v>
      </c>
      <c r="C53" t="s">
        <v>18</v>
      </c>
      <c r="D53" t="s">
        <v>159</v>
      </c>
      <c r="E53">
        <v>177500000</v>
      </c>
      <c r="F53" s="5">
        <v>180500000</v>
      </c>
      <c r="G53" s="5">
        <v>3000000</v>
      </c>
      <c r="H53" s="5">
        <v>17750000</v>
      </c>
      <c r="I53" s="5">
        <v>18050000</v>
      </c>
      <c r="J53" s="5">
        <v>178000000</v>
      </c>
      <c r="K53" s="5">
        <v>181000000</v>
      </c>
      <c r="L53" s="5">
        <v>0.22916666666666666</v>
      </c>
      <c r="M53" s="7">
        <v>5107.8999999999996</v>
      </c>
      <c r="N53" s="5">
        <v>178000000</v>
      </c>
      <c r="O53" s="5">
        <v>181000000</v>
      </c>
      <c r="P53" s="3">
        <v>0.22916666666666666</v>
      </c>
    </row>
    <row r="54" spans="1:16" x14ac:dyDescent="0.25">
      <c r="A54" t="s">
        <v>51</v>
      </c>
      <c r="B54" s="2">
        <v>46075</v>
      </c>
      <c r="C54" t="s">
        <v>19</v>
      </c>
      <c r="D54" t="s">
        <v>159</v>
      </c>
      <c r="E54">
        <v>177500000</v>
      </c>
      <c r="F54" s="5">
        <v>180500000</v>
      </c>
      <c r="G54" s="5">
        <v>3000000</v>
      </c>
      <c r="H54" s="5">
        <v>17750000</v>
      </c>
      <c r="I54" s="5">
        <v>18050000</v>
      </c>
      <c r="J54" s="5">
        <v>178000000</v>
      </c>
      <c r="K54" s="5">
        <v>181000000</v>
      </c>
      <c r="L54" s="5">
        <v>0.41666666666666669</v>
      </c>
      <c r="M54" s="7">
        <v>5107.8999999999996</v>
      </c>
      <c r="N54" s="5">
        <v>178000000</v>
      </c>
      <c r="O54" s="5">
        <v>181000000</v>
      </c>
      <c r="P54" s="3">
        <v>0.41666666666666669</v>
      </c>
    </row>
    <row r="55" spans="1:16" x14ac:dyDescent="0.25">
      <c r="A55" t="s">
        <v>52</v>
      </c>
      <c r="B55" s="2">
        <v>46076</v>
      </c>
      <c r="C55" t="s">
        <v>20</v>
      </c>
      <c r="D55" t="s">
        <v>159</v>
      </c>
      <c r="E55">
        <v>181100000</v>
      </c>
      <c r="F55" s="5">
        <v>184100000</v>
      </c>
      <c r="G55" s="5">
        <v>3000000</v>
      </c>
      <c r="H55" s="5">
        <v>18110000</v>
      </c>
      <c r="I55" s="5">
        <v>18410000</v>
      </c>
      <c r="J55" s="5">
        <v>181600000</v>
      </c>
      <c r="K55" s="5">
        <v>184600000</v>
      </c>
      <c r="L55" s="5">
        <v>0.97916666666666663</v>
      </c>
      <c r="M55" s="7">
        <v>5217.3999999999996</v>
      </c>
      <c r="N55" s="5">
        <v>181600000</v>
      </c>
      <c r="O55" s="5">
        <v>184600000</v>
      </c>
      <c r="P55" s="3">
        <v>0.97916666666666663</v>
      </c>
    </row>
    <row r="56" spans="1:16" x14ac:dyDescent="0.25">
      <c r="A56" t="s">
        <v>53</v>
      </c>
      <c r="B56" s="2">
        <v>46077</v>
      </c>
      <c r="C56" t="s">
        <v>21</v>
      </c>
      <c r="D56" t="s">
        <v>159</v>
      </c>
      <c r="E56">
        <v>181100000</v>
      </c>
      <c r="F56" s="5">
        <v>184100000</v>
      </c>
      <c r="G56" s="5">
        <v>3000000</v>
      </c>
      <c r="H56" s="5">
        <v>18110000</v>
      </c>
      <c r="I56" s="5">
        <v>18410000</v>
      </c>
      <c r="J56" s="5">
        <v>181600000</v>
      </c>
      <c r="K56" s="5">
        <v>184600000</v>
      </c>
      <c r="L56" s="5">
        <v>0.97916666666666663</v>
      </c>
      <c r="M56" s="7">
        <v>5144.5</v>
      </c>
      <c r="N56" s="5">
        <v>181600000</v>
      </c>
      <c r="O56" s="5">
        <v>184600000</v>
      </c>
      <c r="P56" s="3">
        <v>0.97916666666666663</v>
      </c>
    </row>
    <row r="57" spans="1:16" x14ac:dyDescent="0.25">
      <c r="A57" t="s">
        <v>54</v>
      </c>
      <c r="B57" s="2">
        <v>46078</v>
      </c>
      <c r="C57" t="s">
        <v>22</v>
      </c>
      <c r="D57" t="s">
        <v>159</v>
      </c>
      <c r="E57">
        <v>181800000</v>
      </c>
      <c r="F57" s="5">
        <v>184800000</v>
      </c>
      <c r="G57" s="5">
        <v>3000000</v>
      </c>
      <c r="H57" s="5">
        <v>18180000</v>
      </c>
      <c r="I57" s="5">
        <v>18480000</v>
      </c>
      <c r="J57" s="5">
        <v>182300000</v>
      </c>
      <c r="K57" s="5">
        <v>185300000</v>
      </c>
      <c r="L57" s="5">
        <v>0.97916666666666663</v>
      </c>
      <c r="M57" s="7">
        <v>5203.5</v>
      </c>
      <c r="N57" s="5">
        <v>182300000</v>
      </c>
      <c r="O57" s="5">
        <v>185300000</v>
      </c>
      <c r="P57" s="3">
        <v>0.97916666666666663</v>
      </c>
    </row>
    <row r="58" spans="1:16" x14ac:dyDescent="0.25">
      <c r="A58" t="s">
        <v>55</v>
      </c>
      <c r="B58" s="2">
        <v>46079</v>
      </c>
      <c r="C58" t="s">
        <v>16</v>
      </c>
      <c r="D58" t="s">
        <v>159</v>
      </c>
      <c r="E58">
        <v>181000000</v>
      </c>
      <c r="F58" s="5">
        <v>184000000</v>
      </c>
      <c r="G58" s="5">
        <v>3000000</v>
      </c>
      <c r="H58" s="5">
        <v>18100000</v>
      </c>
      <c r="I58" s="5">
        <v>18400000</v>
      </c>
      <c r="J58" s="5">
        <v>181000000</v>
      </c>
      <c r="K58" s="5">
        <v>184000000</v>
      </c>
      <c r="L58" s="5">
        <v>0.97916666666666663</v>
      </c>
      <c r="M58" s="7">
        <v>5181.2</v>
      </c>
      <c r="N58" s="5">
        <v>181000000</v>
      </c>
      <c r="O58" s="5">
        <v>184000000</v>
      </c>
      <c r="P58" s="3">
        <v>0.97916666666666663</v>
      </c>
    </row>
    <row r="59" spans="1:16" x14ac:dyDescent="0.25">
      <c r="A59" t="s">
        <v>56</v>
      </c>
      <c r="B59" s="2">
        <v>46080</v>
      </c>
      <c r="C59" t="s">
        <v>17</v>
      </c>
      <c r="D59" t="s">
        <v>159</v>
      </c>
      <c r="E59">
        <v>180800000</v>
      </c>
      <c r="F59" s="5">
        <v>183800000</v>
      </c>
      <c r="G59" s="5">
        <v>3000000</v>
      </c>
      <c r="H59" s="5">
        <v>18080000</v>
      </c>
      <c r="I59" s="5">
        <v>18380000</v>
      </c>
      <c r="J59" s="5">
        <v>181000000</v>
      </c>
      <c r="K59" s="5">
        <v>184000000</v>
      </c>
      <c r="L59" s="5">
        <v>0.97916666666666663</v>
      </c>
      <c r="M59" s="7">
        <v>5235.5</v>
      </c>
      <c r="N59" s="5">
        <v>181000000</v>
      </c>
      <c r="O59" s="5">
        <v>184000000</v>
      </c>
      <c r="P59" s="3">
        <v>0.97916666666666663</v>
      </c>
    </row>
    <row r="60" spans="1:16" x14ac:dyDescent="0.25">
      <c r="A60" t="s">
        <v>57</v>
      </c>
      <c r="B60" s="2">
        <v>46081</v>
      </c>
      <c r="C60" t="s">
        <v>18</v>
      </c>
      <c r="D60" t="s">
        <v>159</v>
      </c>
      <c r="E60">
        <v>183800000</v>
      </c>
      <c r="F60" s="5">
        <v>186800000</v>
      </c>
      <c r="G60" s="5">
        <v>3000000</v>
      </c>
      <c r="H60" s="5">
        <v>18380000</v>
      </c>
      <c r="I60" s="5">
        <v>18680000</v>
      </c>
      <c r="J60" s="5">
        <v>184000000</v>
      </c>
      <c r="K60" s="5">
        <v>187000000</v>
      </c>
      <c r="L60" s="5">
        <v>0.39583333333333331</v>
      </c>
      <c r="M60" s="7">
        <v>5280.2</v>
      </c>
      <c r="N60" s="5">
        <v>184000000</v>
      </c>
      <c r="O60" s="5">
        <v>187000000</v>
      </c>
      <c r="P60" s="3">
        <v>0.39583333333333331</v>
      </c>
    </row>
    <row r="61" spans="1:16" x14ac:dyDescent="0.25">
      <c r="A61" s="2">
        <v>46025</v>
      </c>
      <c r="B61" s="2">
        <v>46082</v>
      </c>
      <c r="C61" t="s">
        <v>19</v>
      </c>
      <c r="D61" t="s">
        <v>159</v>
      </c>
      <c r="E61">
        <v>183800000</v>
      </c>
      <c r="F61" s="5">
        <v>186800000</v>
      </c>
      <c r="G61" s="5">
        <v>3000000</v>
      </c>
      <c r="H61" s="5">
        <v>18380000</v>
      </c>
      <c r="I61" s="5">
        <v>18680000</v>
      </c>
      <c r="J61" s="5">
        <v>184000000</v>
      </c>
      <c r="K61" s="5">
        <v>187000000</v>
      </c>
      <c r="L61" s="5">
        <v>0.41666666666666669</v>
      </c>
      <c r="M61" s="7">
        <v>5280.2</v>
      </c>
      <c r="N61" s="5">
        <v>184000000</v>
      </c>
      <c r="O61" s="5">
        <v>187000000</v>
      </c>
      <c r="P61" s="3">
        <v>0.41666666666666669</v>
      </c>
    </row>
    <row r="62" spans="1:16" x14ac:dyDescent="0.25">
      <c r="A62" s="2">
        <v>46056</v>
      </c>
      <c r="B62" s="2">
        <v>46083</v>
      </c>
      <c r="C62" t="s">
        <v>20</v>
      </c>
      <c r="D62" t="s">
        <v>159</v>
      </c>
      <c r="E62">
        <v>186400000</v>
      </c>
      <c r="F62" s="5">
        <v>189400000</v>
      </c>
      <c r="G62" s="5">
        <v>3000000</v>
      </c>
      <c r="H62" s="5">
        <v>18640000</v>
      </c>
      <c r="I62" s="5">
        <v>18940000</v>
      </c>
      <c r="J62" s="5">
        <v>187900000</v>
      </c>
      <c r="K62" s="5">
        <v>190900000</v>
      </c>
      <c r="L62" s="5">
        <v>0.97916666666666663</v>
      </c>
      <c r="M62" s="7">
        <v>5309</v>
      </c>
      <c r="N62" s="5">
        <v>187900000</v>
      </c>
      <c r="O62" s="5">
        <v>190900000</v>
      </c>
      <c r="P62" s="3">
        <v>0.97916666666666663</v>
      </c>
    </row>
    <row r="63" spans="1:16" x14ac:dyDescent="0.25">
      <c r="A63" s="2">
        <v>46084</v>
      </c>
      <c r="B63" s="2">
        <v>46084</v>
      </c>
      <c r="C63" t="s">
        <v>21</v>
      </c>
      <c r="D63" t="s">
        <v>159</v>
      </c>
      <c r="E63">
        <v>184900000</v>
      </c>
      <c r="F63" s="5">
        <v>187900000</v>
      </c>
      <c r="G63" s="5">
        <v>3000000</v>
      </c>
      <c r="H63" s="5">
        <v>18490000</v>
      </c>
      <c r="I63" s="5">
        <v>18790000</v>
      </c>
      <c r="J63" s="5">
        <v>185200000</v>
      </c>
      <c r="K63" s="5">
        <v>188200000</v>
      </c>
      <c r="L63" s="5">
        <v>0.97916666666666663</v>
      </c>
      <c r="M63" s="7">
        <v>5117.8999999999996</v>
      </c>
      <c r="N63" s="5">
        <v>185200000</v>
      </c>
      <c r="O63" s="5">
        <v>188200000</v>
      </c>
      <c r="P63" s="3">
        <v>0.97916666666666663</v>
      </c>
    </row>
    <row r="64" spans="1:16" x14ac:dyDescent="0.25">
      <c r="A64" s="2">
        <v>46115</v>
      </c>
      <c r="B64" s="2">
        <v>46085</v>
      </c>
      <c r="C64" t="s">
        <v>22</v>
      </c>
      <c r="D64" t="s">
        <v>159</v>
      </c>
      <c r="E64">
        <v>180900000</v>
      </c>
      <c r="F64" s="5">
        <v>183900000</v>
      </c>
      <c r="G64" s="5">
        <v>3000000</v>
      </c>
      <c r="H64" s="5">
        <v>18090000</v>
      </c>
      <c r="I64" s="5">
        <v>18390000</v>
      </c>
      <c r="J64" s="5">
        <v>181200000</v>
      </c>
      <c r="K64" s="5">
        <v>184200000</v>
      </c>
      <c r="L64" s="5">
        <v>0.97916666666666663</v>
      </c>
      <c r="M64" s="7">
        <v>5151.2</v>
      </c>
      <c r="N64" s="5">
        <v>181200000</v>
      </c>
      <c r="O64" s="5">
        <v>184200000</v>
      </c>
      <c r="P64" s="3">
        <v>0.97916666666666663</v>
      </c>
    </row>
    <row r="65" spans="1:16" x14ac:dyDescent="0.25">
      <c r="A65" s="2">
        <v>46145</v>
      </c>
      <c r="B65" s="2">
        <v>46086</v>
      </c>
      <c r="C65" t="s">
        <v>16</v>
      </c>
      <c r="D65" t="s">
        <v>159</v>
      </c>
      <c r="E65">
        <v>181400000</v>
      </c>
      <c r="F65" s="5">
        <v>184400000</v>
      </c>
      <c r="G65" s="5">
        <v>3000000</v>
      </c>
      <c r="H65" s="5">
        <v>18140000</v>
      </c>
      <c r="I65" s="5">
        <v>18440000</v>
      </c>
      <c r="J65" s="5">
        <v>181700000</v>
      </c>
      <c r="K65" s="5">
        <v>184700000</v>
      </c>
      <c r="L65" s="5">
        <v>0.97916666666666663</v>
      </c>
      <c r="M65" s="7">
        <v>5070.8999999999996</v>
      </c>
      <c r="N65" s="5">
        <v>181700000</v>
      </c>
      <c r="O65" s="5">
        <v>184700000</v>
      </c>
      <c r="P65" s="3">
        <v>0.97916666666666663</v>
      </c>
    </row>
    <row r="66" spans="1:16" x14ac:dyDescent="0.25">
      <c r="A66" s="2">
        <v>46176</v>
      </c>
      <c r="B66" s="2">
        <v>46087</v>
      </c>
      <c r="C66" t="s">
        <v>17</v>
      </c>
      <c r="D66" t="s">
        <v>159</v>
      </c>
      <c r="E66">
        <v>180500000</v>
      </c>
      <c r="F66" s="5">
        <v>183500000</v>
      </c>
      <c r="G66" s="5">
        <v>3000000</v>
      </c>
      <c r="H66" s="5">
        <v>18050000</v>
      </c>
      <c r="I66" s="5">
        <v>18350000</v>
      </c>
      <c r="J66" s="5">
        <v>180800000</v>
      </c>
      <c r="K66" s="5">
        <v>183800000</v>
      </c>
      <c r="L66" s="5">
        <v>0.97916666666666663</v>
      </c>
      <c r="M66" s="7">
        <v>5143.1000000000004</v>
      </c>
      <c r="N66" s="5">
        <v>180800000</v>
      </c>
      <c r="O66" s="5">
        <v>183800000</v>
      </c>
      <c r="P66" s="3">
        <v>0.97916666666666663</v>
      </c>
    </row>
    <row r="67" spans="1:16" x14ac:dyDescent="0.25">
      <c r="A67" s="2">
        <v>46206</v>
      </c>
      <c r="B67" s="2">
        <v>46088</v>
      </c>
      <c r="C67" t="s">
        <v>18</v>
      </c>
      <c r="D67" t="s">
        <v>159</v>
      </c>
      <c r="E67">
        <v>181700000</v>
      </c>
      <c r="F67" s="5">
        <v>184700000</v>
      </c>
      <c r="G67" s="5">
        <v>3000000</v>
      </c>
      <c r="H67" s="5">
        <v>18170000</v>
      </c>
      <c r="I67" s="5">
        <v>18470000</v>
      </c>
      <c r="J67" s="5">
        <v>182000000</v>
      </c>
      <c r="K67" s="5">
        <v>185000000</v>
      </c>
      <c r="L67" s="5">
        <v>0.39583333333333331</v>
      </c>
      <c r="M67" s="7">
        <v>5174</v>
      </c>
      <c r="N67" s="5">
        <v>182000000</v>
      </c>
      <c r="O67" s="5">
        <v>185000000</v>
      </c>
      <c r="P67" s="3">
        <v>0.39583333333333331</v>
      </c>
    </row>
    <row r="68" spans="1:16" x14ac:dyDescent="0.25">
      <c r="A68" s="2">
        <v>46237</v>
      </c>
      <c r="B68" s="2">
        <v>46089</v>
      </c>
      <c r="C68" t="s">
        <v>19</v>
      </c>
      <c r="D68" t="s">
        <v>159</v>
      </c>
      <c r="E68">
        <v>181700000</v>
      </c>
      <c r="F68" s="5">
        <v>184700000</v>
      </c>
      <c r="G68" s="5">
        <v>3000000</v>
      </c>
      <c r="H68" s="5">
        <v>18170000</v>
      </c>
      <c r="I68" s="5">
        <v>18470000</v>
      </c>
      <c r="J68" s="5">
        <v>182000000</v>
      </c>
      <c r="K68" s="5">
        <v>185000000</v>
      </c>
      <c r="L68" s="5">
        <v>0</v>
      </c>
      <c r="M68" s="7">
        <v>5174</v>
      </c>
      <c r="N68" s="5">
        <v>182000000</v>
      </c>
      <c r="O68" s="5">
        <v>185000000</v>
      </c>
      <c r="P68" s="3">
        <v>0</v>
      </c>
    </row>
    <row r="69" spans="1:16" x14ac:dyDescent="0.25">
      <c r="A69" s="2">
        <v>46268</v>
      </c>
      <c r="B69" s="2">
        <v>46090</v>
      </c>
      <c r="C69" t="s">
        <v>20</v>
      </c>
      <c r="D69" t="s">
        <v>159</v>
      </c>
      <c r="E69">
        <v>180800000</v>
      </c>
      <c r="F69" s="5">
        <v>183800000</v>
      </c>
      <c r="G69" s="5">
        <v>3000000</v>
      </c>
      <c r="H69" s="5">
        <v>18080000</v>
      </c>
      <c r="I69" s="5">
        <v>18380000</v>
      </c>
      <c r="J69" s="5">
        <v>181100000</v>
      </c>
      <c r="K69" s="5">
        <v>184100000</v>
      </c>
      <c r="L69" s="5">
        <v>0.97916666666666663</v>
      </c>
      <c r="M69" s="7">
        <v>5105.3</v>
      </c>
      <c r="N69" s="5">
        <v>181100000</v>
      </c>
      <c r="O69" s="5">
        <v>184100000</v>
      </c>
      <c r="P69" s="3">
        <v>0.97916666666666663</v>
      </c>
    </row>
    <row r="70" spans="1:16" x14ac:dyDescent="0.25">
      <c r="A70" s="2">
        <v>46298</v>
      </c>
      <c r="B70" s="2">
        <v>46091</v>
      </c>
      <c r="C70" t="s">
        <v>21</v>
      </c>
      <c r="D70" t="s">
        <v>159</v>
      </c>
      <c r="E70">
        <v>182800000</v>
      </c>
      <c r="F70" s="5">
        <v>185800000</v>
      </c>
      <c r="G70" s="5">
        <v>3000000</v>
      </c>
      <c r="H70" s="5">
        <v>18280000</v>
      </c>
      <c r="I70" s="5">
        <v>18580000</v>
      </c>
      <c r="J70" s="5">
        <v>183100000</v>
      </c>
      <c r="K70" s="5">
        <v>186100000</v>
      </c>
      <c r="L70" s="5">
        <v>0.97916666666666663</v>
      </c>
      <c r="M70" s="7">
        <v>5234.2</v>
      </c>
      <c r="N70" s="5">
        <v>183100000</v>
      </c>
      <c r="O70" s="5">
        <v>186100000</v>
      </c>
      <c r="P70" s="3">
        <v>0.97916666666666663</v>
      </c>
    </row>
    <row r="71" spans="1:16" x14ac:dyDescent="0.25">
      <c r="A71" s="2">
        <v>46329</v>
      </c>
      <c r="B71" s="2">
        <v>46092</v>
      </c>
      <c r="C71" t="s">
        <v>22</v>
      </c>
      <c r="D71" t="s">
        <v>159</v>
      </c>
      <c r="E71">
        <v>183900000</v>
      </c>
      <c r="F71" s="5">
        <v>186900000</v>
      </c>
      <c r="G71" s="5">
        <v>3000000</v>
      </c>
      <c r="H71" s="5">
        <v>18390000</v>
      </c>
      <c r="I71" s="5">
        <v>18690000</v>
      </c>
      <c r="J71" s="5">
        <v>184200000</v>
      </c>
      <c r="K71" s="5">
        <v>187200000</v>
      </c>
      <c r="L71" s="5">
        <v>0.97916666666666663</v>
      </c>
      <c r="M71" s="7">
        <v>5169</v>
      </c>
      <c r="N71" s="5">
        <v>184200000</v>
      </c>
      <c r="O71" s="5">
        <v>187200000</v>
      </c>
      <c r="P71" s="3">
        <v>0.97916666666666663</v>
      </c>
    </row>
    <row r="72" spans="1:16" x14ac:dyDescent="0.25">
      <c r="A72" s="2">
        <v>46359</v>
      </c>
      <c r="B72" s="2">
        <v>46093</v>
      </c>
      <c r="C72" t="s">
        <v>16</v>
      </c>
      <c r="D72" t="s">
        <v>159</v>
      </c>
      <c r="E72">
        <v>183000000</v>
      </c>
      <c r="F72" s="5">
        <v>186000000</v>
      </c>
      <c r="G72" s="5">
        <v>3000000</v>
      </c>
      <c r="H72" s="5">
        <v>18300000</v>
      </c>
      <c r="I72" s="5">
        <v>18600000</v>
      </c>
      <c r="J72" s="5">
        <v>183300000</v>
      </c>
      <c r="K72" s="5">
        <v>186300000</v>
      </c>
      <c r="L72" s="5">
        <v>0.97916666666666663</v>
      </c>
      <c r="M72" s="7">
        <v>5135.1000000000004</v>
      </c>
      <c r="N72" s="5">
        <v>183300000</v>
      </c>
      <c r="O72" s="5">
        <v>186300000</v>
      </c>
      <c r="P72" s="3">
        <v>0.97916666666666663</v>
      </c>
    </row>
    <row r="73" spans="1:16" x14ac:dyDescent="0.25">
      <c r="A73" t="s">
        <v>58</v>
      </c>
      <c r="B73" s="2">
        <v>46094</v>
      </c>
      <c r="C73" t="s">
        <v>17</v>
      </c>
      <c r="D73" t="s">
        <v>159</v>
      </c>
      <c r="E73">
        <v>181500000</v>
      </c>
      <c r="F73" s="5">
        <v>184500000</v>
      </c>
      <c r="G73" s="5">
        <v>3000000</v>
      </c>
      <c r="H73" s="5">
        <v>18150000</v>
      </c>
      <c r="I73" s="5">
        <v>18450000</v>
      </c>
      <c r="J73" s="5">
        <v>181800000</v>
      </c>
      <c r="K73" s="5">
        <v>184800000</v>
      </c>
      <c r="L73" s="5">
        <v>0.97916666666666663</v>
      </c>
      <c r="M73" s="7">
        <v>5038.3</v>
      </c>
      <c r="N73" s="5">
        <v>181800000</v>
      </c>
      <c r="O73" s="5">
        <v>184800000</v>
      </c>
      <c r="P73" s="3">
        <v>0.97916666666666663</v>
      </c>
    </row>
    <row r="74" spans="1:16" x14ac:dyDescent="0.25">
      <c r="A74" t="s">
        <v>59</v>
      </c>
      <c r="B74" s="2">
        <v>46095</v>
      </c>
      <c r="C74" t="s">
        <v>18</v>
      </c>
      <c r="D74" t="s">
        <v>159</v>
      </c>
      <c r="E74">
        <v>179300000</v>
      </c>
      <c r="F74" s="5">
        <v>182300000</v>
      </c>
      <c r="G74" s="5">
        <v>3000000</v>
      </c>
      <c r="H74" s="5">
        <v>17930000</v>
      </c>
      <c r="I74" s="5">
        <v>18230000</v>
      </c>
      <c r="J74" s="5">
        <v>179600000</v>
      </c>
      <c r="K74" s="5">
        <v>182600000</v>
      </c>
      <c r="L74" s="5">
        <v>0.5</v>
      </c>
      <c r="M74" s="7">
        <v>5019.7</v>
      </c>
      <c r="N74" s="5">
        <v>179600000</v>
      </c>
      <c r="O74" s="5">
        <v>182600000</v>
      </c>
      <c r="P74" s="3">
        <v>0.5</v>
      </c>
    </row>
    <row r="75" spans="1:16" x14ac:dyDescent="0.25">
      <c r="A75" t="s">
        <v>60</v>
      </c>
      <c r="B75" s="2">
        <v>46096</v>
      </c>
      <c r="C75" t="s">
        <v>19</v>
      </c>
      <c r="D75" t="s">
        <v>159</v>
      </c>
      <c r="E75">
        <v>179300000</v>
      </c>
      <c r="F75" s="5">
        <v>182300000</v>
      </c>
      <c r="G75" s="5">
        <v>3000000</v>
      </c>
      <c r="H75" s="5">
        <v>17930000</v>
      </c>
      <c r="I75" s="5">
        <v>18230000</v>
      </c>
      <c r="J75" s="5">
        <v>179600000</v>
      </c>
      <c r="K75" s="5">
        <v>182600000</v>
      </c>
      <c r="L75" s="5">
        <v>0</v>
      </c>
      <c r="M75" s="7">
        <v>5019.7</v>
      </c>
      <c r="N75" s="5">
        <v>179600000</v>
      </c>
      <c r="O75" s="5">
        <v>182600000</v>
      </c>
      <c r="P75" s="3">
        <v>0</v>
      </c>
    </row>
    <row r="76" spans="1:16" x14ac:dyDescent="0.25">
      <c r="A76" t="s">
        <v>61</v>
      </c>
      <c r="B76" s="2">
        <v>46097</v>
      </c>
      <c r="C76" t="s">
        <v>20</v>
      </c>
      <c r="D76" t="s">
        <v>159</v>
      </c>
      <c r="E76">
        <v>179800000</v>
      </c>
      <c r="F76" s="5">
        <v>182800000</v>
      </c>
      <c r="G76" s="5">
        <v>3000000</v>
      </c>
      <c r="H76" s="5">
        <v>17980000</v>
      </c>
      <c r="I76" s="5">
        <v>18280000</v>
      </c>
      <c r="J76" s="5">
        <v>180100000</v>
      </c>
      <c r="K76" s="5">
        <v>183100000</v>
      </c>
      <c r="L76" s="5">
        <v>0.97916666666666663</v>
      </c>
      <c r="M76" s="7">
        <v>4981</v>
      </c>
      <c r="N76" s="5">
        <v>180100000</v>
      </c>
      <c r="O76" s="5">
        <v>183100000</v>
      </c>
      <c r="P76" s="3">
        <v>0.97916666666666663</v>
      </c>
    </row>
    <row r="77" spans="1:16" x14ac:dyDescent="0.25">
      <c r="A77" t="s">
        <v>62</v>
      </c>
      <c r="B77" s="2">
        <v>46098</v>
      </c>
      <c r="C77" t="s">
        <v>21</v>
      </c>
      <c r="D77" t="s">
        <v>159</v>
      </c>
      <c r="E77">
        <v>179700000</v>
      </c>
      <c r="F77" s="5">
        <v>182700000</v>
      </c>
      <c r="G77" s="5">
        <v>3000000</v>
      </c>
      <c r="H77" s="5">
        <v>17970000</v>
      </c>
      <c r="I77" s="5">
        <v>18270000</v>
      </c>
      <c r="J77" s="5">
        <v>180000000</v>
      </c>
      <c r="K77" s="5">
        <v>183000000</v>
      </c>
      <c r="L77" s="5">
        <v>0.97916666666666663</v>
      </c>
      <c r="M77" s="7">
        <v>5003.6000000000004</v>
      </c>
      <c r="N77" s="5">
        <v>180000000</v>
      </c>
      <c r="O77" s="5">
        <v>183000000</v>
      </c>
      <c r="P77" s="3">
        <v>0.97916666666666663</v>
      </c>
    </row>
    <row r="78" spans="1:16" x14ac:dyDescent="0.25">
      <c r="A78" t="s">
        <v>63</v>
      </c>
      <c r="B78" s="2">
        <v>46099</v>
      </c>
      <c r="C78" t="s">
        <v>22</v>
      </c>
      <c r="D78" t="s">
        <v>159</v>
      </c>
      <c r="E78">
        <v>179700000</v>
      </c>
      <c r="F78" s="5">
        <v>182700000</v>
      </c>
      <c r="G78" s="5">
        <v>3000000</v>
      </c>
      <c r="H78" s="5">
        <v>17970000</v>
      </c>
      <c r="I78" s="5">
        <v>18270000</v>
      </c>
      <c r="J78" s="5">
        <v>180000000</v>
      </c>
      <c r="K78" s="5">
        <v>183000000</v>
      </c>
      <c r="L78" s="5">
        <v>0.97916666666666663</v>
      </c>
      <c r="M78" s="7">
        <v>4881.6000000000004</v>
      </c>
      <c r="N78" s="5">
        <v>180000000</v>
      </c>
      <c r="O78" s="5">
        <v>183000000</v>
      </c>
      <c r="P78" s="3">
        <v>0.97916666666666663</v>
      </c>
    </row>
    <row r="79" spans="1:16" x14ac:dyDescent="0.25">
      <c r="A79" t="s">
        <v>64</v>
      </c>
      <c r="B79" s="2">
        <v>46100</v>
      </c>
      <c r="C79" t="s">
        <v>16</v>
      </c>
      <c r="D79" t="s">
        <v>159</v>
      </c>
      <c r="E79">
        <v>172200000</v>
      </c>
      <c r="F79" s="5">
        <v>175200000</v>
      </c>
      <c r="G79" s="5">
        <v>3000000</v>
      </c>
      <c r="H79" s="5">
        <v>17220000</v>
      </c>
      <c r="I79" s="5">
        <v>17520000</v>
      </c>
      <c r="J79" s="5">
        <v>172500000</v>
      </c>
      <c r="K79" s="5">
        <v>175500000</v>
      </c>
      <c r="L79" s="5">
        <v>0.97916666666666663</v>
      </c>
      <c r="M79" s="7">
        <v>4602.3</v>
      </c>
      <c r="N79" s="5">
        <v>172500000</v>
      </c>
      <c r="O79" s="5">
        <v>175500000</v>
      </c>
      <c r="P79" s="3">
        <v>0.97916666666666663</v>
      </c>
    </row>
    <row r="80" spans="1:16" x14ac:dyDescent="0.25">
      <c r="A80" t="s">
        <v>65</v>
      </c>
      <c r="B80" s="2">
        <v>46101</v>
      </c>
      <c r="C80" t="s">
        <v>17</v>
      </c>
      <c r="D80" t="s">
        <v>159</v>
      </c>
      <c r="E80">
        <v>172800000</v>
      </c>
      <c r="F80" s="5">
        <v>175800000</v>
      </c>
      <c r="G80" s="5">
        <v>3000000</v>
      </c>
      <c r="H80" s="5">
        <v>17280000</v>
      </c>
      <c r="I80" s="5">
        <v>17580000</v>
      </c>
      <c r="J80" s="5">
        <v>173100000</v>
      </c>
      <c r="K80" s="5">
        <v>176100000</v>
      </c>
      <c r="L80" s="5">
        <v>0.97916666666666663</v>
      </c>
      <c r="M80" s="7">
        <v>4588.6000000000004</v>
      </c>
      <c r="N80" s="5">
        <v>173100000</v>
      </c>
      <c r="O80" s="5">
        <v>176100000</v>
      </c>
      <c r="P80" s="3">
        <v>0.97916666666666663</v>
      </c>
    </row>
    <row r="81" spans="1:16" x14ac:dyDescent="0.25">
      <c r="A81" t="s">
        <v>66</v>
      </c>
      <c r="B81" s="2">
        <v>46102</v>
      </c>
      <c r="C81" t="s">
        <v>18</v>
      </c>
      <c r="D81" t="s">
        <v>159</v>
      </c>
      <c r="E81">
        <v>167700000</v>
      </c>
      <c r="F81" s="5">
        <v>170700000</v>
      </c>
      <c r="G81" s="5">
        <v>3000000</v>
      </c>
      <c r="H81" s="5">
        <v>16770000</v>
      </c>
      <c r="I81" s="5">
        <v>17070000</v>
      </c>
      <c r="J81" s="5">
        <v>168000000</v>
      </c>
      <c r="K81" s="5">
        <v>171000000</v>
      </c>
      <c r="L81" s="5">
        <v>0.39583333333333331</v>
      </c>
      <c r="M81" s="7">
        <v>4492.2</v>
      </c>
      <c r="N81" s="5">
        <v>168000000</v>
      </c>
      <c r="O81" s="5">
        <v>171000000</v>
      </c>
      <c r="P81" s="3">
        <v>0.39583333333333331</v>
      </c>
    </row>
    <row r="82" spans="1:16" x14ac:dyDescent="0.25">
      <c r="A82" t="s">
        <v>67</v>
      </c>
      <c r="B82" s="2">
        <v>46103</v>
      </c>
      <c r="C82" t="s">
        <v>19</v>
      </c>
      <c r="D82" t="s">
        <v>159</v>
      </c>
      <c r="E82">
        <v>167700000</v>
      </c>
      <c r="F82" s="5">
        <v>170700000</v>
      </c>
      <c r="G82" s="5">
        <v>3000000</v>
      </c>
      <c r="H82" s="5">
        <v>16770000</v>
      </c>
      <c r="I82" s="5">
        <v>17070000</v>
      </c>
      <c r="J82" s="5">
        <v>168000000</v>
      </c>
      <c r="K82" s="5">
        <v>171000000</v>
      </c>
      <c r="L82" s="5">
        <v>0.52083333333333337</v>
      </c>
      <c r="M82" s="7">
        <v>4492.2</v>
      </c>
      <c r="N82" s="5">
        <v>168000000</v>
      </c>
      <c r="O82" s="5">
        <v>171000000</v>
      </c>
      <c r="P82" s="3">
        <v>0.52083333333333337</v>
      </c>
    </row>
    <row r="83" spans="1:16" x14ac:dyDescent="0.25">
      <c r="A83" t="s">
        <v>68</v>
      </c>
      <c r="B83" s="2">
        <v>46104</v>
      </c>
      <c r="C83" t="s">
        <v>20</v>
      </c>
      <c r="D83" t="s">
        <v>159</v>
      </c>
      <c r="E83">
        <v>162800000</v>
      </c>
      <c r="F83" s="5">
        <v>165800000</v>
      </c>
      <c r="G83" s="5">
        <v>3000000</v>
      </c>
      <c r="H83" s="5">
        <v>16280000</v>
      </c>
      <c r="I83" s="5">
        <v>16580000</v>
      </c>
      <c r="J83" s="5">
        <v>163000000</v>
      </c>
      <c r="K83" s="5">
        <v>166000000</v>
      </c>
      <c r="L83" s="5">
        <v>0.97916666666666663</v>
      </c>
      <c r="M83" s="7">
        <v>4362.3</v>
      </c>
      <c r="N83" s="5">
        <v>163000000</v>
      </c>
      <c r="O83" s="5">
        <v>166000000</v>
      </c>
      <c r="P83" s="3">
        <v>0.97916666666666663</v>
      </c>
    </row>
    <row r="84" spans="1:16" x14ac:dyDescent="0.25">
      <c r="A84" t="s">
        <v>69</v>
      </c>
      <c r="B84" s="2">
        <v>46105</v>
      </c>
      <c r="C84" t="s">
        <v>21</v>
      </c>
      <c r="D84" t="s">
        <v>159</v>
      </c>
      <c r="E84">
        <v>167000000</v>
      </c>
      <c r="F84" s="5">
        <v>170000000</v>
      </c>
      <c r="G84" s="5">
        <v>3000000</v>
      </c>
      <c r="H84" s="5">
        <v>16700000</v>
      </c>
      <c r="I84" s="5">
        <v>17000000</v>
      </c>
      <c r="J84" s="5">
        <v>167200000</v>
      </c>
      <c r="K84" s="5">
        <v>170200000</v>
      </c>
      <c r="L84" s="5">
        <v>0.97916666666666663</v>
      </c>
      <c r="M84" s="7">
        <v>4423.8999999999996</v>
      </c>
      <c r="N84" s="5">
        <v>167200000</v>
      </c>
      <c r="O84" s="5">
        <v>170200000</v>
      </c>
      <c r="P84" s="3">
        <v>0.97916666666666663</v>
      </c>
    </row>
    <row r="85" spans="1:16" x14ac:dyDescent="0.25">
      <c r="A85" t="s">
        <v>70</v>
      </c>
      <c r="B85" s="2">
        <v>46106</v>
      </c>
      <c r="C85" t="s">
        <v>22</v>
      </c>
      <c r="D85" t="s">
        <v>159</v>
      </c>
      <c r="E85">
        <v>170300000</v>
      </c>
      <c r="F85" s="5">
        <v>173300000</v>
      </c>
      <c r="G85" s="5">
        <v>3000000</v>
      </c>
      <c r="H85" s="5">
        <v>17030000</v>
      </c>
      <c r="I85" s="5">
        <v>17330000</v>
      </c>
      <c r="J85" s="5">
        <v>170500000</v>
      </c>
      <c r="K85" s="5">
        <v>173500000</v>
      </c>
      <c r="L85" s="5">
        <v>0.97916666666666663</v>
      </c>
      <c r="M85" s="7">
        <v>4558.2</v>
      </c>
      <c r="N85" s="5">
        <v>170500000</v>
      </c>
      <c r="O85" s="5">
        <v>173500000</v>
      </c>
      <c r="P85" s="3">
        <v>0.97916666666666663</v>
      </c>
    </row>
    <row r="86" spans="1:16" x14ac:dyDescent="0.25">
      <c r="A86" t="s">
        <v>71</v>
      </c>
      <c r="B86" s="2">
        <v>46107</v>
      </c>
      <c r="C86" t="s">
        <v>16</v>
      </c>
      <c r="D86" t="s">
        <v>159</v>
      </c>
      <c r="E86">
        <v>168300000</v>
      </c>
      <c r="F86" s="5">
        <v>171300000</v>
      </c>
      <c r="G86" s="5">
        <v>3000000</v>
      </c>
      <c r="H86" s="5">
        <v>16830000</v>
      </c>
      <c r="I86" s="5">
        <v>17130000</v>
      </c>
      <c r="J86" s="5">
        <v>168500000</v>
      </c>
      <c r="K86" s="5">
        <v>171500000</v>
      </c>
      <c r="L86" s="5">
        <v>0.97916666666666663</v>
      </c>
      <c r="M86" s="7">
        <v>4395</v>
      </c>
      <c r="N86" s="5">
        <v>168500000</v>
      </c>
      <c r="O86" s="5">
        <v>171500000</v>
      </c>
      <c r="P86" s="3">
        <v>0.97916666666666663</v>
      </c>
    </row>
    <row r="87" spans="1:16" x14ac:dyDescent="0.25">
      <c r="A87" t="s">
        <v>72</v>
      </c>
      <c r="B87" s="2">
        <v>46108</v>
      </c>
      <c r="C87" t="s">
        <v>17</v>
      </c>
      <c r="D87" t="s">
        <v>159</v>
      </c>
      <c r="E87">
        <v>168400000</v>
      </c>
      <c r="F87" s="5">
        <v>171400000</v>
      </c>
      <c r="G87" s="5">
        <v>3000000</v>
      </c>
      <c r="H87" s="5">
        <v>16840000</v>
      </c>
      <c r="I87" s="5">
        <v>17140000</v>
      </c>
      <c r="J87" s="5">
        <v>168600000</v>
      </c>
      <c r="K87" s="5">
        <v>171600000</v>
      </c>
      <c r="L87" s="5">
        <v>0.97916666666666663</v>
      </c>
      <c r="M87" s="7">
        <v>4529.8</v>
      </c>
      <c r="N87" s="5">
        <v>168600000</v>
      </c>
      <c r="O87" s="5">
        <v>171600000</v>
      </c>
      <c r="P87" s="3">
        <v>0.97916666666666663</v>
      </c>
    </row>
    <row r="88" spans="1:16" x14ac:dyDescent="0.25">
      <c r="A88" t="s">
        <v>73</v>
      </c>
      <c r="B88" s="2">
        <v>46109</v>
      </c>
      <c r="C88" t="s">
        <v>18</v>
      </c>
      <c r="D88" t="s">
        <v>159</v>
      </c>
      <c r="E88">
        <v>169600000</v>
      </c>
      <c r="F88" s="5">
        <v>172600000</v>
      </c>
      <c r="G88" s="5">
        <v>3000000</v>
      </c>
      <c r="H88" s="5">
        <v>16960000</v>
      </c>
      <c r="I88" s="5">
        <v>17260000</v>
      </c>
      <c r="J88" s="5">
        <v>169800000</v>
      </c>
      <c r="K88" s="5">
        <v>172800000</v>
      </c>
      <c r="L88" s="5">
        <v>0.39583333333333331</v>
      </c>
      <c r="M88" s="7">
        <v>4495</v>
      </c>
      <c r="N88" s="5">
        <v>169800000</v>
      </c>
      <c r="O88" s="5">
        <v>172800000</v>
      </c>
      <c r="P88" s="3">
        <v>0.39583333333333331</v>
      </c>
    </row>
    <row r="89" spans="1:16" x14ac:dyDescent="0.25">
      <c r="A89" t="s">
        <v>74</v>
      </c>
      <c r="B89" s="2">
        <v>46110</v>
      </c>
      <c r="C89" t="s">
        <v>19</v>
      </c>
      <c r="D89" t="s">
        <v>159</v>
      </c>
      <c r="E89">
        <v>169600000</v>
      </c>
      <c r="F89" s="5">
        <v>172600000</v>
      </c>
      <c r="G89" s="5">
        <v>3000000</v>
      </c>
      <c r="H89" s="5">
        <v>16960000</v>
      </c>
      <c r="I89" s="5">
        <v>17260000</v>
      </c>
      <c r="J89" s="5">
        <v>169800000</v>
      </c>
      <c r="K89" s="5">
        <v>172800000</v>
      </c>
      <c r="L89" s="5">
        <v>0</v>
      </c>
      <c r="M89" s="7">
        <v>4495</v>
      </c>
      <c r="N89" s="5">
        <v>169800000</v>
      </c>
      <c r="O89" s="5">
        <v>172800000</v>
      </c>
      <c r="P89" s="3">
        <v>0</v>
      </c>
    </row>
    <row r="90" spans="1:16" x14ac:dyDescent="0.25">
      <c r="A90" t="s">
        <v>75</v>
      </c>
      <c r="B90" s="2">
        <v>46111</v>
      </c>
      <c r="C90" t="s">
        <v>20</v>
      </c>
      <c r="D90" t="s">
        <v>159</v>
      </c>
      <c r="E90">
        <v>170600000</v>
      </c>
      <c r="F90" s="5">
        <v>173600000</v>
      </c>
      <c r="G90" s="5">
        <v>3000000</v>
      </c>
      <c r="H90" s="5">
        <v>17060000</v>
      </c>
      <c r="I90" s="5">
        <v>17360000</v>
      </c>
      <c r="J90" s="5">
        <v>170800000</v>
      </c>
      <c r="K90" s="5">
        <v>173800000</v>
      </c>
      <c r="L90" s="5">
        <v>0.97916666666666663</v>
      </c>
      <c r="M90" s="7">
        <v>4539.8999999999996</v>
      </c>
      <c r="N90" s="5">
        <v>170800000</v>
      </c>
      <c r="O90" s="5">
        <v>173800000</v>
      </c>
      <c r="P90" s="3">
        <v>0.97916666666666663</v>
      </c>
    </row>
    <row r="91" spans="1:16" x14ac:dyDescent="0.25">
      <c r="A91" t="s">
        <v>76</v>
      </c>
      <c r="B91" s="2">
        <v>46112</v>
      </c>
      <c r="C91" t="s">
        <v>21</v>
      </c>
      <c r="D91" t="s">
        <v>159</v>
      </c>
      <c r="E91">
        <v>171700000</v>
      </c>
      <c r="F91" s="5">
        <v>174700000</v>
      </c>
      <c r="G91" s="5">
        <v>3000000</v>
      </c>
      <c r="H91" s="5">
        <v>17170000</v>
      </c>
      <c r="I91" s="5">
        <v>17470000</v>
      </c>
      <c r="J91" s="5">
        <v>171900000</v>
      </c>
      <c r="K91" s="5">
        <v>174900000</v>
      </c>
      <c r="L91" s="5">
        <v>0.97916666666666663</v>
      </c>
      <c r="M91" s="7">
        <v>4619.2</v>
      </c>
      <c r="N91" s="5">
        <v>171900000</v>
      </c>
      <c r="O91" s="5">
        <v>174900000</v>
      </c>
      <c r="P91" s="3">
        <v>0.97916666666666663</v>
      </c>
    </row>
    <row r="92" spans="1:16" x14ac:dyDescent="0.25">
      <c r="A92" s="2">
        <v>46026</v>
      </c>
      <c r="B92" s="2">
        <v>46113</v>
      </c>
      <c r="C92" t="s">
        <v>22</v>
      </c>
      <c r="D92" t="s">
        <v>159</v>
      </c>
      <c r="E92">
        <v>173500000</v>
      </c>
      <c r="F92" s="5">
        <v>176500000</v>
      </c>
      <c r="G92" s="5">
        <v>3000000</v>
      </c>
      <c r="H92" s="5">
        <v>17350000</v>
      </c>
      <c r="I92" s="5">
        <v>17650000</v>
      </c>
      <c r="J92" s="5">
        <v>173700000</v>
      </c>
      <c r="K92" s="5">
        <v>176700000</v>
      </c>
      <c r="L92" s="5">
        <v>0.95833333333333337</v>
      </c>
      <c r="M92" s="7">
        <v>4787.1000000000004</v>
      </c>
      <c r="N92" s="5">
        <v>173700000</v>
      </c>
      <c r="O92" s="5">
        <v>176700000</v>
      </c>
      <c r="P92" s="3">
        <v>0.95833333333333337</v>
      </c>
    </row>
    <row r="93" spans="1:16" x14ac:dyDescent="0.25">
      <c r="A93" s="2">
        <v>46057</v>
      </c>
      <c r="B93" s="2">
        <v>46114</v>
      </c>
      <c r="C93" t="s">
        <v>16</v>
      </c>
      <c r="D93" t="s">
        <v>159</v>
      </c>
      <c r="E93">
        <v>169800000</v>
      </c>
      <c r="F93" s="5">
        <v>173300000</v>
      </c>
      <c r="G93" s="5">
        <v>3500000</v>
      </c>
      <c r="H93" s="5">
        <v>16980000</v>
      </c>
      <c r="I93" s="5">
        <v>17330000</v>
      </c>
      <c r="J93" s="5">
        <v>170000000</v>
      </c>
      <c r="K93" s="5">
        <v>173500000</v>
      </c>
      <c r="L93" s="5">
        <v>0.97916666666666663</v>
      </c>
      <c r="M93" s="7">
        <v>4656.5</v>
      </c>
      <c r="N93" s="5">
        <v>170000000</v>
      </c>
      <c r="O93" s="5">
        <v>173500000</v>
      </c>
      <c r="P93" s="3">
        <v>0.97916666666666663</v>
      </c>
    </row>
    <row r="94" spans="1:16" x14ac:dyDescent="0.25">
      <c r="A94" s="2">
        <v>46085</v>
      </c>
      <c r="B94" s="2">
        <v>46115</v>
      </c>
      <c r="C94" t="s">
        <v>17</v>
      </c>
      <c r="D94" t="s">
        <v>159</v>
      </c>
      <c r="E94">
        <v>170800000</v>
      </c>
      <c r="F94" s="5">
        <v>174300000</v>
      </c>
      <c r="G94" s="5">
        <v>3500000</v>
      </c>
      <c r="H94" s="5">
        <v>17080000</v>
      </c>
      <c r="I94" s="5">
        <v>17430000</v>
      </c>
      <c r="J94" s="5">
        <v>171000000</v>
      </c>
      <c r="K94" s="5">
        <v>174500000</v>
      </c>
      <c r="L94" s="5">
        <v>0.39583333333333331</v>
      </c>
      <c r="M94" s="7">
        <v>4678</v>
      </c>
      <c r="N94" s="5">
        <v>171000000</v>
      </c>
      <c r="O94" s="5">
        <v>174500000</v>
      </c>
      <c r="P94" s="3">
        <v>0.39583333333333331</v>
      </c>
    </row>
    <row r="95" spans="1:16" x14ac:dyDescent="0.25">
      <c r="A95" s="2">
        <v>46116</v>
      </c>
      <c r="B95" s="2">
        <v>46116</v>
      </c>
      <c r="C95" t="s">
        <v>18</v>
      </c>
      <c r="D95" t="s">
        <v>159</v>
      </c>
      <c r="E95">
        <v>171300000</v>
      </c>
      <c r="F95" s="5">
        <v>174300000</v>
      </c>
      <c r="G95" s="5">
        <v>3000000</v>
      </c>
      <c r="H95" s="5">
        <v>17130000</v>
      </c>
      <c r="I95" s="5">
        <v>17430000</v>
      </c>
      <c r="J95" s="5">
        <v>171500000</v>
      </c>
      <c r="K95" s="5">
        <v>174500000</v>
      </c>
      <c r="L95" s="5">
        <v>0.35416666666666669</v>
      </c>
      <c r="M95" s="7">
        <v>4678</v>
      </c>
      <c r="N95" s="5">
        <v>171500000</v>
      </c>
      <c r="O95" s="5">
        <v>174500000</v>
      </c>
      <c r="P95" s="3">
        <v>0.35416666666666669</v>
      </c>
    </row>
    <row r="96" spans="1:16" x14ac:dyDescent="0.25">
      <c r="A96" s="2">
        <v>46146</v>
      </c>
      <c r="B96" s="2">
        <v>46117</v>
      </c>
      <c r="C96" t="s">
        <v>19</v>
      </c>
      <c r="D96" t="s">
        <v>159</v>
      </c>
      <c r="E96">
        <v>171300000</v>
      </c>
      <c r="F96" s="5">
        <v>174300000</v>
      </c>
      <c r="G96" s="5">
        <v>3000000</v>
      </c>
      <c r="H96" s="5">
        <v>17130000</v>
      </c>
      <c r="I96" s="5">
        <v>17430000</v>
      </c>
      <c r="J96" s="5">
        <v>171500000</v>
      </c>
      <c r="K96" s="5">
        <v>174500000</v>
      </c>
      <c r="L96" s="5">
        <v>0</v>
      </c>
      <c r="M96" s="7">
        <v>4678</v>
      </c>
      <c r="N96" s="5">
        <v>171500000</v>
      </c>
      <c r="O96" s="5">
        <v>174500000</v>
      </c>
      <c r="P96" s="3">
        <v>0</v>
      </c>
    </row>
    <row r="97" spans="1:16" x14ac:dyDescent="0.25">
      <c r="A97" s="2">
        <v>46177</v>
      </c>
      <c r="B97" s="2">
        <v>46118</v>
      </c>
      <c r="C97" t="s">
        <v>20</v>
      </c>
      <c r="D97" t="s">
        <v>159</v>
      </c>
      <c r="E97">
        <v>169600000</v>
      </c>
      <c r="F97" s="5">
        <v>172600000</v>
      </c>
      <c r="G97" s="5">
        <v>3000000</v>
      </c>
      <c r="H97" s="5">
        <v>16960000</v>
      </c>
      <c r="I97" s="5">
        <v>17260000</v>
      </c>
      <c r="J97" s="5">
        <v>170100000</v>
      </c>
      <c r="K97" s="5">
        <v>173100000</v>
      </c>
      <c r="L97" s="5">
        <v>0.97916666666666663</v>
      </c>
      <c r="M97" s="7">
        <v>4669.3</v>
      </c>
      <c r="N97" s="5">
        <v>170100000</v>
      </c>
      <c r="O97" s="5">
        <v>173100000</v>
      </c>
      <c r="P97" s="3">
        <v>0.97916666666666663</v>
      </c>
    </row>
    <row r="98" spans="1:16" x14ac:dyDescent="0.25">
      <c r="A98" s="2">
        <v>46207</v>
      </c>
      <c r="B98" s="2">
        <v>46119</v>
      </c>
      <c r="C98" t="s">
        <v>21</v>
      </c>
      <c r="D98" t="s">
        <v>159</v>
      </c>
      <c r="E98">
        <v>169000000</v>
      </c>
      <c r="F98" s="5">
        <v>172000000</v>
      </c>
      <c r="G98" s="5">
        <v>3000000</v>
      </c>
      <c r="H98" s="5">
        <v>16900000</v>
      </c>
      <c r="I98" s="5">
        <v>17200000</v>
      </c>
      <c r="J98" s="5">
        <v>169500000</v>
      </c>
      <c r="K98" s="5">
        <v>172500000</v>
      </c>
      <c r="L98" s="5">
        <v>0.97916666666666663</v>
      </c>
      <c r="M98" s="7">
        <v>4662.2</v>
      </c>
      <c r="N98" s="5">
        <v>169500000</v>
      </c>
      <c r="O98" s="5">
        <v>172500000</v>
      </c>
      <c r="P98" s="3">
        <v>0.97916666666666663</v>
      </c>
    </row>
    <row r="99" spans="1:16" x14ac:dyDescent="0.25">
      <c r="A99" s="2">
        <v>46238</v>
      </c>
      <c r="B99" s="2">
        <v>46120</v>
      </c>
      <c r="C99" t="s">
        <v>22</v>
      </c>
      <c r="D99" t="s">
        <v>159</v>
      </c>
      <c r="E99">
        <v>170500000</v>
      </c>
      <c r="F99" s="5">
        <v>174500000</v>
      </c>
      <c r="G99" s="5">
        <v>4000000</v>
      </c>
      <c r="H99" s="5">
        <v>17050000</v>
      </c>
      <c r="I99" s="5">
        <v>17450000</v>
      </c>
      <c r="J99" s="5">
        <v>171000000</v>
      </c>
      <c r="K99" s="5">
        <v>175000000</v>
      </c>
      <c r="L99" s="5">
        <v>0.97916666666666663</v>
      </c>
      <c r="M99" s="7">
        <v>4750.8</v>
      </c>
      <c r="N99" s="5">
        <v>171000000</v>
      </c>
      <c r="O99" s="5">
        <v>175000000</v>
      </c>
      <c r="P99" s="3">
        <v>0.97916666666666663</v>
      </c>
    </row>
    <row r="100" spans="1:16" x14ac:dyDescent="0.25">
      <c r="A100" s="2">
        <v>46269</v>
      </c>
      <c r="B100" s="2">
        <v>46121</v>
      </c>
      <c r="C100" t="s">
        <v>16</v>
      </c>
      <c r="D100" t="s">
        <v>159</v>
      </c>
      <c r="E100">
        <v>168000000</v>
      </c>
      <c r="F100" s="5">
        <v>171000000</v>
      </c>
      <c r="G100" s="5">
        <v>3000000</v>
      </c>
      <c r="H100" s="5">
        <v>16800000</v>
      </c>
      <c r="I100" s="5">
        <v>17100000</v>
      </c>
      <c r="J100" s="5">
        <v>168500000</v>
      </c>
      <c r="K100" s="5">
        <v>171500000</v>
      </c>
      <c r="L100" s="5">
        <v>0.97916666666666663</v>
      </c>
      <c r="M100" s="7">
        <v>4794.3</v>
      </c>
      <c r="N100" s="5">
        <v>168500000</v>
      </c>
      <c r="O100" s="5">
        <v>171500000</v>
      </c>
      <c r="P100" s="3">
        <v>0.97916666666666663</v>
      </c>
    </row>
    <row r="101" spans="1:16" x14ac:dyDescent="0.25">
      <c r="A101" s="2">
        <v>46299</v>
      </c>
      <c r="B101" s="2">
        <v>46122</v>
      </c>
      <c r="C101" t="s">
        <v>17</v>
      </c>
      <c r="D101" t="s">
        <v>159</v>
      </c>
      <c r="E101">
        <v>169400000</v>
      </c>
      <c r="F101" s="5">
        <v>172400000</v>
      </c>
      <c r="G101" s="5">
        <v>3000000</v>
      </c>
      <c r="H101" s="5">
        <v>16940000</v>
      </c>
      <c r="I101" s="5">
        <v>17240000</v>
      </c>
      <c r="J101" s="5">
        <v>169700000</v>
      </c>
      <c r="K101" s="5">
        <v>172700000</v>
      </c>
      <c r="L101" s="5">
        <v>0.97916666666666663</v>
      </c>
      <c r="M101" s="7">
        <v>4762.3999999999996</v>
      </c>
      <c r="N101" s="5">
        <v>169700000</v>
      </c>
      <c r="O101" s="5">
        <v>172700000</v>
      </c>
      <c r="P101" s="3">
        <v>0.97916666666666663</v>
      </c>
    </row>
    <row r="102" spans="1:16" x14ac:dyDescent="0.25">
      <c r="A102" s="2">
        <v>46330</v>
      </c>
      <c r="B102" s="2">
        <v>46123</v>
      </c>
      <c r="C102" t="s">
        <v>18</v>
      </c>
      <c r="D102" t="s">
        <v>159</v>
      </c>
      <c r="E102">
        <v>169100000</v>
      </c>
      <c r="F102" s="5">
        <v>172100000</v>
      </c>
      <c r="G102" s="5">
        <v>3000000</v>
      </c>
      <c r="H102" s="5">
        <v>16910000</v>
      </c>
      <c r="I102" s="5">
        <v>17210000</v>
      </c>
      <c r="J102" s="5">
        <v>169400000</v>
      </c>
      <c r="K102" s="5">
        <v>172400000</v>
      </c>
      <c r="L102" s="5">
        <v>0.39583333333333331</v>
      </c>
      <c r="M102" s="7">
        <v>4749.2</v>
      </c>
      <c r="N102" s="5">
        <v>169400000</v>
      </c>
      <c r="O102" s="5">
        <v>172400000</v>
      </c>
      <c r="P102" s="3">
        <v>0.39583333333333331</v>
      </c>
    </row>
    <row r="103" spans="1:16" x14ac:dyDescent="0.25">
      <c r="A103" s="2">
        <v>46360</v>
      </c>
      <c r="B103" s="2">
        <v>46124</v>
      </c>
      <c r="C103" t="s">
        <v>19</v>
      </c>
      <c r="D103" t="s">
        <v>159</v>
      </c>
      <c r="E103">
        <v>169100000</v>
      </c>
      <c r="F103" s="5">
        <v>172100000</v>
      </c>
      <c r="G103" s="5">
        <v>3000000</v>
      </c>
      <c r="H103" s="5">
        <v>16910000</v>
      </c>
      <c r="I103" s="5">
        <v>17210000</v>
      </c>
      <c r="J103" s="5">
        <v>169400000</v>
      </c>
      <c r="K103" s="5">
        <v>172400000</v>
      </c>
      <c r="L103" s="5">
        <v>0.64583333333333337</v>
      </c>
      <c r="M103" s="7">
        <v>4749.2</v>
      </c>
      <c r="N103" s="5">
        <v>169400000</v>
      </c>
      <c r="O103" s="5">
        <v>172400000</v>
      </c>
      <c r="P103" s="3">
        <v>0.64583333333333337</v>
      </c>
    </row>
    <row r="104" spans="1:16" x14ac:dyDescent="0.25">
      <c r="A104" t="s">
        <v>77</v>
      </c>
      <c r="B104" s="2">
        <v>46125</v>
      </c>
      <c r="C104" t="s">
        <v>20</v>
      </c>
      <c r="D104" t="s">
        <v>159</v>
      </c>
      <c r="E104">
        <v>168200000</v>
      </c>
      <c r="F104" s="5">
        <v>171200000</v>
      </c>
      <c r="G104" s="5">
        <v>3000000</v>
      </c>
      <c r="H104" s="5">
        <v>16820000</v>
      </c>
      <c r="I104" s="5">
        <v>17120000</v>
      </c>
      <c r="J104" s="5">
        <v>168500000</v>
      </c>
      <c r="K104" s="5">
        <v>171500000</v>
      </c>
      <c r="L104" s="5">
        <v>0.97916666666666663</v>
      </c>
      <c r="M104" s="7">
        <v>4731.7</v>
      </c>
      <c r="N104" s="5">
        <v>168500000</v>
      </c>
      <c r="O104" s="5">
        <v>171500000</v>
      </c>
      <c r="P104" s="3">
        <v>0.97916666666666663</v>
      </c>
    </row>
    <row r="105" spans="1:16" x14ac:dyDescent="0.25">
      <c r="A105" t="s">
        <v>78</v>
      </c>
      <c r="B105" s="2">
        <v>46126</v>
      </c>
      <c r="C105" t="s">
        <v>21</v>
      </c>
      <c r="D105" t="s">
        <v>159</v>
      </c>
      <c r="E105">
        <v>170200000</v>
      </c>
      <c r="F105" s="5">
        <v>172700000</v>
      </c>
      <c r="G105" s="5">
        <v>2500000</v>
      </c>
      <c r="H105" s="5">
        <v>17020000</v>
      </c>
      <c r="I105" s="5">
        <v>17270000</v>
      </c>
      <c r="J105" s="5">
        <v>170500000</v>
      </c>
      <c r="K105" s="5">
        <v>173000000</v>
      </c>
      <c r="L105" s="5">
        <v>0.97916666666666663</v>
      </c>
      <c r="M105" s="7">
        <v>4820.2</v>
      </c>
      <c r="N105" s="5">
        <v>170500000</v>
      </c>
      <c r="O105" s="5">
        <v>173000000</v>
      </c>
      <c r="P105" s="3">
        <v>0.97916666666666663</v>
      </c>
    </row>
    <row r="106" spans="1:16" x14ac:dyDescent="0.25">
      <c r="A106" t="s">
        <v>79</v>
      </c>
      <c r="B106" s="2">
        <v>46127</v>
      </c>
      <c r="C106" t="s">
        <v>22</v>
      </c>
      <c r="D106" t="s">
        <v>159</v>
      </c>
      <c r="E106">
        <v>169700000</v>
      </c>
      <c r="F106" s="5">
        <v>173200000</v>
      </c>
      <c r="G106" s="5">
        <v>3500000</v>
      </c>
      <c r="H106" s="5">
        <v>16970000</v>
      </c>
      <c r="I106" s="5">
        <v>17320000</v>
      </c>
      <c r="J106" s="5">
        <v>170000000</v>
      </c>
      <c r="K106" s="5">
        <v>173500000</v>
      </c>
      <c r="L106" s="5">
        <v>0.97916666666666663</v>
      </c>
      <c r="M106" s="7">
        <v>4810.1000000000004</v>
      </c>
      <c r="N106" s="5">
        <v>170000000</v>
      </c>
      <c r="O106" s="5">
        <v>173500000</v>
      </c>
      <c r="P106" s="3">
        <v>0.97916666666666663</v>
      </c>
    </row>
    <row r="107" spans="1:16" x14ac:dyDescent="0.25">
      <c r="A107" t="s">
        <v>80</v>
      </c>
      <c r="B107" s="2">
        <v>46128</v>
      </c>
      <c r="C107" t="s">
        <v>16</v>
      </c>
      <c r="D107" t="s">
        <v>159</v>
      </c>
      <c r="E107">
        <v>167200000</v>
      </c>
      <c r="F107" s="5">
        <v>170700000</v>
      </c>
      <c r="G107" s="5">
        <v>3500000</v>
      </c>
      <c r="H107" s="5">
        <v>16720000</v>
      </c>
      <c r="I107" s="5">
        <v>17070000</v>
      </c>
      <c r="J107" s="5">
        <v>167700000</v>
      </c>
      <c r="K107" s="5">
        <v>171200000</v>
      </c>
      <c r="L107" s="5">
        <v>0.97916666666666663</v>
      </c>
      <c r="M107" s="7">
        <v>4801.1000000000004</v>
      </c>
      <c r="N107" s="5">
        <v>167700000</v>
      </c>
      <c r="O107" s="5">
        <v>171200000</v>
      </c>
      <c r="P107" s="3">
        <v>0.97916666666666663</v>
      </c>
    </row>
    <row r="108" spans="1:16" x14ac:dyDescent="0.25">
      <c r="A108" t="s">
        <v>81</v>
      </c>
      <c r="B108" s="2">
        <v>46129</v>
      </c>
      <c r="C108" t="s">
        <v>17</v>
      </c>
      <c r="D108" t="s">
        <v>159</v>
      </c>
      <c r="E108">
        <v>167000000</v>
      </c>
      <c r="F108" s="5">
        <v>170500000</v>
      </c>
      <c r="G108" s="5">
        <v>3500000</v>
      </c>
      <c r="H108" s="5">
        <v>16700000</v>
      </c>
      <c r="I108" s="5">
        <v>17050000</v>
      </c>
      <c r="J108" s="5">
        <v>167500000</v>
      </c>
      <c r="K108" s="5">
        <v>171000000</v>
      </c>
      <c r="L108" s="5">
        <v>0.97916666666666663</v>
      </c>
      <c r="M108" s="7">
        <v>4870.7</v>
      </c>
      <c r="N108" s="5">
        <v>167500000</v>
      </c>
      <c r="O108" s="5">
        <v>171000000</v>
      </c>
      <c r="P108" s="3">
        <v>0.97916666666666663</v>
      </c>
    </row>
    <row r="109" spans="1:16" x14ac:dyDescent="0.25">
      <c r="A109" t="s">
        <v>82</v>
      </c>
      <c r="B109" s="2">
        <v>46130</v>
      </c>
      <c r="C109" t="s">
        <v>18</v>
      </c>
      <c r="D109" t="s">
        <v>159</v>
      </c>
      <c r="E109">
        <v>168000000</v>
      </c>
      <c r="F109" s="5">
        <v>171500000</v>
      </c>
      <c r="G109" s="5">
        <v>3500000</v>
      </c>
      <c r="H109" s="5">
        <v>16800000</v>
      </c>
      <c r="I109" s="5">
        <v>17150000</v>
      </c>
      <c r="J109" s="5">
        <v>168500000</v>
      </c>
      <c r="K109" s="5">
        <v>172000000</v>
      </c>
      <c r="L109" s="5">
        <v>0.39583333333333331</v>
      </c>
      <c r="M109" s="7">
        <v>4831.3999999999996</v>
      </c>
      <c r="N109" s="5">
        <v>168500000</v>
      </c>
      <c r="O109" s="5">
        <v>172000000</v>
      </c>
      <c r="P109" s="3">
        <v>0.39583333333333331</v>
      </c>
    </row>
    <row r="110" spans="1:16" x14ac:dyDescent="0.25">
      <c r="A110" t="s">
        <v>83</v>
      </c>
      <c r="B110" s="2">
        <v>46131</v>
      </c>
      <c r="C110" t="s">
        <v>19</v>
      </c>
      <c r="D110" t="s">
        <v>159</v>
      </c>
      <c r="E110">
        <v>168000000</v>
      </c>
      <c r="F110" s="5">
        <v>171500000</v>
      </c>
      <c r="G110" s="5">
        <v>3500000</v>
      </c>
      <c r="H110" s="5">
        <v>16800000</v>
      </c>
      <c r="I110" s="5">
        <v>17150000</v>
      </c>
      <c r="J110" s="5">
        <v>168500000</v>
      </c>
      <c r="K110" s="5">
        <v>172000000</v>
      </c>
      <c r="L110" s="5">
        <v>0</v>
      </c>
      <c r="M110" s="7">
        <v>4831.3999999999996</v>
      </c>
      <c r="N110" s="5">
        <v>168500000</v>
      </c>
      <c r="O110" s="5">
        <v>172000000</v>
      </c>
      <c r="P110" s="3">
        <v>0</v>
      </c>
    </row>
    <row r="111" spans="1:16" x14ac:dyDescent="0.25">
      <c r="A111" t="s">
        <v>84</v>
      </c>
      <c r="B111" s="2">
        <v>46132</v>
      </c>
      <c r="C111" t="s">
        <v>20</v>
      </c>
      <c r="D111" t="s">
        <v>159</v>
      </c>
      <c r="E111">
        <v>167800000</v>
      </c>
      <c r="F111" s="5">
        <v>170800000</v>
      </c>
      <c r="G111" s="5">
        <v>3000000</v>
      </c>
      <c r="H111" s="5">
        <v>16780000</v>
      </c>
      <c r="I111" s="5">
        <v>17080000</v>
      </c>
      <c r="J111" s="5">
        <v>168300000</v>
      </c>
      <c r="K111" s="5">
        <v>171300000</v>
      </c>
      <c r="L111" s="5">
        <v>0.97916666666666663</v>
      </c>
      <c r="M111" s="7">
        <v>4801.7</v>
      </c>
      <c r="N111" s="5">
        <v>168300000</v>
      </c>
      <c r="O111" s="5">
        <v>171300000</v>
      </c>
      <c r="P111" s="3">
        <v>0.97916666666666663</v>
      </c>
    </row>
    <row r="112" spans="1:16" x14ac:dyDescent="0.25">
      <c r="A112" t="s">
        <v>85</v>
      </c>
      <c r="B112" s="2">
        <v>46133</v>
      </c>
      <c r="C112" t="s">
        <v>21</v>
      </c>
      <c r="D112" t="s">
        <v>159</v>
      </c>
      <c r="E112">
        <v>167900000</v>
      </c>
      <c r="F112" s="5">
        <v>170400000</v>
      </c>
      <c r="G112" s="5">
        <v>2500000</v>
      </c>
      <c r="H112" s="5">
        <v>16790000</v>
      </c>
      <c r="I112" s="5">
        <v>17040000</v>
      </c>
      <c r="J112" s="5">
        <v>168100000</v>
      </c>
      <c r="K112" s="5">
        <v>170600000</v>
      </c>
      <c r="L112" s="5">
        <v>0.97916666666666663</v>
      </c>
      <c r="M112" s="7">
        <v>4726.8</v>
      </c>
      <c r="N112" s="5">
        <v>168100000</v>
      </c>
      <c r="O112" s="5">
        <v>170600000</v>
      </c>
      <c r="P112" s="3">
        <v>0.97916666666666663</v>
      </c>
    </row>
    <row r="113" spans="1:16" x14ac:dyDescent="0.25">
      <c r="A113" t="s">
        <v>86</v>
      </c>
      <c r="B113" s="2">
        <v>46134</v>
      </c>
      <c r="C113" t="s">
        <v>22</v>
      </c>
      <c r="D113" t="s">
        <v>159</v>
      </c>
      <c r="E113">
        <v>167300000</v>
      </c>
      <c r="F113" s="5">
        <v>169800000</v>
      </c>
      <c r="G113" s="5">
        <v>2500000</v>
      </c>
      <c r="H113" s="5">
        <v>16730000</v>
      </c>
      <c r="I113" s="5">
        <v>16980000</v>
      </c>
      <c r="J113" s="5">
        <v>167500000</v>
      </c>
      <c r="K113" s="5">
        <v>170000000</v>
      </c>
      <c r="L113" s="5">
        <v>0.97916666666666663</v>
      </c>
      <c r="M113" s="7">
        <v>4728.8</v>
      </c>
      <c r="N113" s="5">
        <v>167500000</v>
      </c>
      <c r="O113" s="5">
        <v>170000000</v>
      </c>
      <c r="P113" s="3">
        <v>0.97916666666666663</v>
      </c>
    </row>
    <row r="114" spans="1:16" x14ac:dyDescent="0.25">
      <c r="A114" t="s">
        <v>87</v>
      </c>
      <c r="B114" s="2">
        <v>46135</v>
      </c>
      <c r="C114" t="s">
        <v>16</v>
      </c>
      <c r="D114" t="s">
        <v>159</v>
      </c>
      <c r="E114">
        <v>166500000</v>
      </c>
      <c r="F114" s="5">
        <v>169000000</v>
      </c>
      <c r="G114" s="5">
        <v>2500000</v>
      </c>
      <c r="H114" s="5">
        <v>16650000</v>
      </c>
      <c r="I114" s="5">
        <v>16900000</v>
      </c>
      <c r="J114" s="5">
        <v>166700000</v>
      </c>
      <c r="K114" s="5">
        <v>169200000</v>
      </c>
      <c r="L114" s="5">
        <v>0.97916666666666663</v>
      </c>
      <c r="M114" s="7">
        <v>4724.7</v>
      </c>
      <c r="N114" s="5">
        <v>166700000</v>
      </c>
      <c r="O114" s="5">
        <v>169200000</v>
      </c>
      <c r="P114" s="3">
        <v>0.97916666666666663</v>
      </c>
    </row>
    <row r="115" spans="1:16" x14ac:dyDescent="0.25">
      <c r="A115" t="s">
        <v>88</v>
      </c>
      <c r="B115" s="2">
        <v>46136</v>
      </c>
      <c r="C115" t="s">
        <v>17</v>
      </c>
      <c r="D115" t="s">
        <v>159</v>
      </c>
      <c r="E115">
        <v>165000000</v>
      </c>
      <c r="F115" s="5">
        <v>167500000</v>
      </c>
      <c r="G115" s="5">
        <v>2500000</v>
      </c>
      <c r="H115" s="5">
        <v>16500000</v>
      </c>
      <c r="I115" s="5">
        <v>16750000</v>
      </c>
      <c r="J115" s="5">
        <v>165500000</v>
      </c>
      <c r="K115" s="5">
        <v>168000000</v>
      </c>
      <c r="L115" s="5">
        <v>0.97916666666666663</v>
      </c>
      <c r="M115" s="7">
        <v>4725.3</v>
      </c>
      <c r="N115" s="5">
        <v>165500000</v>
      </c>
      <c r="O115" s="5">
        <v>168000000</v>
      </c>
      <c r="P115" s="3">
        <v>0.97916666666666663</v>
      </c>
    </row>
    <row r="116" spans="1:16" x14ac:dyDescent="0.25">
      <c r="A116" t="s">
        <v>89</v>
      </c>
      <c r="B116" s="2">
        <v>46137</v>
      </c>
      <c r="C116" t="s">
        <v>18</v>
      </c>
      <c r="D116" t="s">
        <v>159</v>
      </c>
      <c r="E116">
        <v>165800000</v>
      </c>
      <c r="F116" s="5">
        <v>168300000</v>
      </c>
      <c r="G116" s="5">
        <v>2500000</v>
      </c>
      <c r="H116" s="5">
        <v>16580000</v>
      </c>
      <c r="I116" s="5">
        <v>16830000</v>
      </c>
      <c r="J116" s="5">
        <v>166300000</v>
      </c>
      <c r="K116" s="5">
        <v>168800000</v>
      </c>
      <c r="L116" s="5">
        <v>0.39583333333333331</v>
      </c>
      <c r="M116" s="7">
        <v>4710.8</v>
      </c>
      <c r="N116" s="5">
        <v>166300000</v>
      </c>
      <c r="O116" s="5">
        <v>168800000</v>
      </c>
      <c r="P116" s="3">
        <v>0.39583333333333331</v>
      </c>
    </row>
    <row r="117" spans="1:16" x14ac:dyDescent="0.25">
      <c r="A117" t="s">
        <v>90</v>
      </c>
      <c r="B117" s="2">
        <v>46138</v>
      </c>
      <c r="C117" t="s">
        <v>19</v>
      </c>
      <c r="D117" t="s">
        <v>159</v>
      </c>
      <c r="E117">
        <v>165800000</v>
      </c>
      <c r="F117" s="5">
        <v>168300000</v>
      </c>
      <c r="G117" s="5">
        <v>2500000</v>
      </c>
      <c r="H117" s="5">
        <v>16580000</v>
      </c>
      <c r="I117" s="5">
        <v>16830000</v>
      </c>
      <c r="J117" s="5">
        <v>166300000</v>
      </c>
      <c r="K117" s="5">
        <v>168800000</v>
      </c>
      <c r="L117" s="5">
        <v>0</v>
      </c>
      <c r="M117" s="7">
        <v>4710.8</v>
      </c>
      <c r="N117" s="5">
        <v>166300000</v>
      </c>
      <c r="O117" s="5">
        <v>168800000</v>
      </c>
      <c r="P117" s="3">
        <v>0</v>
      </c>
    </row>
    <row r="118" spans="1:16" x14ac:dyDescent="0.25">
      <c r="A118" t="s">
        <v>91</v>
      </c>
      <c r="B118" s="2">
        <v>46139</v>
      </c>
      <c r="C118" t="s">
        <v>20</v>
      </c>
      <c r="D118" t="s">
        <v>159</v>
      </c>
      <c r="E118">
        <v>165800000</v>
      </c>
      <c r="F118" s="5">
        <v>168300000</v>
      </c>
      <c r="G118" s="5">
        <v>2500000</v>
      </c>
      <c r="H118" s="5">
        <v>16580000</v>
      </c>
      <c r="I118" s="5">
        <v>16830000</v>
      </c>
      <c r="J118" s="5">
        <v>166300000</v>
      </c>
      <c r="K118" s="5">
        <v>168800000</v>
      </c>
      <c r="L118" s="5">
        <v>0.97916666666666663</v>
      </c>
      <c r="M118" s="7">
        <v>4676.6000000000004</v>
      </c>
      <c r="N118" s="5">
        <v>166300000</v>
      </c>
      <c r="O118" s="5">
        <v>168800000</v>
      </c>
      <c r="P118" s="3">
        <v>0.97916666666666663</v>
      </c>
    </row>
    <row r="119" spans="1:16" x14ac:dyDescent="0.25">
      <c r="A119" t="s">
        <v>92</v>
      </c>
      <c r="B119" s="2">
        <v>46140</v>
      </c>
      <c r="C119" t="s">
        <v>21</v>
      </c>
      <c r="D119" t="s">
        <v>159</v>
      </c>
      <c r="E119">
        <v>165800000</v>
      </c>
      <c r="F119" s="5">
        <v>168300000</v>
      </c>
      <c r="G119" s="5">
        <v>2500000</v>
      </c>
      <c r="H119" s="5">
        <v>16580000</v>
      </c>
      <c r="I119" s="5">
        <v>16830000</v>
      </c>
      <c r="J119" s="5">
        <v>166300000</v>
      </c>
      <c r="K119" s="5">
        <v>168800000</v>
      </c>
      <c r="L119" s="5">
        <v>0.97916666666666663</v>
      </c>
      <c r="M119" s="7">
        <v>4585.7</v>
      </c>
      <c r="N119" s="5">
        <v>166300000</v>
      </c>
      <c r="O119" s="5">
        <v>168800000</v>
      </c>
      <c r="P119" s="3">
        <v>0.97916666666666663</v>
      </c>
    </row>
    <row r="120" spans="1:16" x14ac:dyDescent="0.25">
      <c r="A120" t="s">
        <v>93</v>
      </c>
      <c r="B120" s="2">
        <v>46141</v>
      </c>
      <c r="C120" t="s">
        <v>22</v>
      </c>
      <c r="D120" t="s">
        <v>159</v>
      </c>
      <c r="E120">
        <v>165800000</v>
      </c>
      <c r="F120" s="5">
        <v>168300000</v>
      </c>
      <c r="G120" s="5">
        <v>2500000</v>
      </c>
      <c r="H120" s="5">
        <v>16580000</v>
      </c>
      <c r="I120" s="5">
        <v>16830000</v>
      </c>
      <c r="J120" s="5">
        <v>166300000</v>
      </c>
      <c r="K120" s="5">
        <v>168800000</v>
      </c>
      <c r="L120" s="5">
        <v>0.97916666666666663</v>
      </c>
      <c r="M120" s="7">
        <v>4564.7</v>
      </c>
      <c r="N120" s="5">
        <v>166300000</v>
      </c>
      <c r="O120" s="5">
        <v>168800000</v>
      </c>
      <c r="P120" s="3">
        <v>0.97916666666666663</v>
      </c>
    </row>
    <row r="121" spans="1:16" x14ac:dyDescent="0.25">
      <c r="A121" t="s">
        <v>94</v>
      </c>
      <c r="B121" s="2">
        <v>46142</v>
      </c>
      <c r="C121" t="s">
        <v>16</v>
      </c>
      <c r="D121" t="s">
        <v>159</v>
      </c>
      <c r="E121">
        <v>162500000</v>
      </c>
      <c r="F121" s="5">
        <v>165500000</v>
      </c>
      <c r="G121" s="5">
        <v>3000000</v>
      </c>
      <c r="H121" s="5">
        <v>16250000</v>
      </c>
      <c r="I121" s="5">
        <v>16550000</v>
      </c>
      <c r="J121" s="5">
        <v>163000000</v>
      </c>
      <c r="K121" s="5">
        <v>166000000</v>
      </c>
      <c r="L121" s="5">
        <v>0.97916666666666663</v>
      </c>
      <c r="M121" s="7">
        <v>4609.8999999999996</v>
      </c>
      <c r="N121" s="5">
        <v>163000000</v>
      </c>
      <c r="O121" s="5">
        <v>166000000</v>
      </c>
      <c r="P121" s="3">
        <v>0.97916666666666663</v>
      </c>
    </row>
    <row r="122" spans="1:16" x14ac:dyDescent="0.25">
      <c r="A122" s="2">
        <v>46027</v>
      </c>
      <c r="B122" s="2">
        <v>46143</v>
      </c>
      <c r="C122" t="s">
        <v>17</v>
      </c>
      <c r="D122" t="s">
        <v>159</v>
      </c>
      <c r="E122">
        <v>162500000</v>
      </c>
      <c r="F122" s="5">
        <v>165500000</v>
      </c>
      <c r="G122" s="5">
        <v>3000000</v>
      </c>
      <c r="H122" s="5">
        <v>16250000</v>
      </c>
      <c r="I122" s="5">
        <v>16550000</v>
      </c>
      <c r="J122" s="5">
        <v>163000000</v>
      </c>
      <c r="K122" s="5">
        <v>166000000</v>
      </c>
      <c r="L122" s="5">
        <v>0.97916666666666663</v>
      </c>
      <c r="M122" s="7">
        <v>4641.5</v>
      </c>
      <c r="N122" s="5">
        <v>163000000</v>
      </c>
      <c r="O122" s="5">
        <v>166000000</v>
      </c>
      <c r="P122" s="3">
        <v>0.97916666666666663</v>
      </c>
    </row>
    <row r="123" spans="1:16" x14ac:dyDescent="0.25">
      <c r="A123" s="2">
        <v>46058</v>
      </c>
      <c r="B123" s="2">
        <v>46144</v>
      </c>
      <c r="C123" t="s">
        <v>18</v>
      </c>
      <c r="D123" t="s">
        <v>159</v>
      </c>
      <c r="E123">
        <v>162500000</v>
      </c>
      <c r="F123" s="5">
        <v>165500000</v>
      </c>
      <c r="G123" s="5">
        <v>3000000</v>
      </c>
      <c r="H123" s="5">
        <v>16250000</v>
      </c>
      <c r="I123" s="5">
        <v>16550000</v>
      </c>
      <c r="J123" s="5">
        <v>163000000</v>
      </c>
      <c r="K123" s="5">
        <v>166000000</v>
      </c>
      <c r="L123" s="5">
        <v>0.1875</v>
      </c>
      <c r="M123" s="7">
        <v>4615.3999999999996</v>
      </c>
      <c r="N123" s="5">
        <v>163000000</v>
      </c>
      <c r="O123" s="5">
        <v>166000000</v>
      </c>
      <c r="P123" s="3">
        <v>0.1875</v>
      </c>
    </row>
    <row r="124" spans="1:16" x14ac:dyDescent="0.25">
      <c r="A124" s="2">
        <v>46086</v>
      </c>
      <c r="B124" s="2">
        <v>46145</v>
      </c>
      <c r="C124" t="s">
        <v>19</v>
      </c>
      <c r="D124" t="s">
        <v>159</v>
      </c>
      <c r="E124">
        <v>162500000</v>
      </c>
      <c r="F124" s="5">
        <v>165500000</v>
      </c>
      <c r="G124" s="5">
        <v>3000000</v>
      </c>
      <c r="H124" s="5">
        <v>16250000</v>
      </c>
      <c r="I124" s="5">
        <v>16550000</v>
      </c>
      <c r="J124" s="5">
        <v>163000000</v>
      </c>
      <c r="K124" s="5">
        <v>166000000</v>
      </c>
      <c r="L124" s="5">
        <v>0</v>
      </c>
      <c r="M124" s="7">
        <v>4615.3999999999996</v>
      </c>
      <c r="N124" s="5">
        <v>163000000</v>
      </c>
      <c r="O124" s="5">
        <v>166000000</v>
      </c>
      <c r="P124" s="3">
        <v>0</v>
      </c>
    </row>
    <row r="125" spans="1:16" x14ac:dyDescent="0.25">
      <c r="A125" s="2">
        <v>46117</v>
      </c>
      <c r="B125" s="2">
        <v>46146</v>
      </c>
      <c r="C125" t="s">
        <v>20</v>
      </c>
      <c r="D125" t="s">
        <v>159</v>
      </c>
      <c r="E125">
        <v>162800000</v>
      </c>
      <c r="F125" s="5">
        <v>165800000</v>
      </c>
      <c r="G125" s="5">
        <v>3000000</v>
      </c>
      <c r="H125" s="5">
        <v>16280000</v>
      </c>
      <c r="I125" s="5">
        <v>16580000</v>
      </c>
      <c r="J125" s="5">
        <v>163300000</v>
      </c>
      <c r="K125" s="5">
        <v>166300000</v>
      </c>
      <c r="L125" s="5">
        <v>0.97916666666666663</v>
      </c>
      <c r="M125" s="7">
        <v>4515.3</v>
      </c>
      <c r="N125" s="5">
        <v>163300000</v>
      </c>
      <c r="O125" s="5">
        <v>166300000</v>
      </c>
      <c r="P125" s="3">
        <v>0.97916666666666663</v>
      </c>
    </row>
    <row r="126" spans="1:16" x14ac:dyDescent="0.25">
      <c r="A126" s="2">
        <v>46147</v>
      </c>
      <c r="B126" s="2">
        <v>46147</v>
      </c>
      <c r="C126" t="s">
        <v>21</v>
      </c>
      <c r="D126" t="s">
        <v>159</v>
      </c>
      <c r="E126">
        <v>161500000</v>
      </c>
      <c r="F126" s="5">
        <v>164500000</v>
      </c>
      <c r="G126" s="5">
        <v>3000000</v>
      </c>
      <c r="H126" s="5">
        <v>16150000</v>
      </c>
      <c r="I126" s="5">
        <v>16450000</v>
      </c>
      <c r="J126" s="5">
        <v>162000000</v>
      </c>
      <c r="K126" s="5">
        <v>165000000</v>
      </c>
      <c r="L126" s="5">
        <v>0.97916666666666663</v>
      </c>
      <c r="M126" s="7">
        <v>4560.2</v>
      </c>
      <c r="N126" s="5">
        <v>162000000</v>
      </c>
      <c r="O126" s="5">
        <v>165000000</v>
      </c>
      <c r="P126" s="3">
        <v>0.97916666666666663</v>
      </c>
    </row>
    <row r="127" spans="1:16" x14ac:dyDescent="0.25">
      <c r="A127" s="2">
        <v>46178</v>
      </c>
      <c r="B127" s="2">
        <v>46148</v>
      </c>
      <c r="C127" t="s">
        <v>22</v>
      </c>
      <c r="D127" t="s">
        <v>159</v>
      </c>
      <c r="E127">
        <v>162500000</v>
      </c>
      <c r="F127" s="5">
        <v>165500000</v>
      </c>
      <c r="G127" s="5">
        <v>3000000</v>
      </c>
      <c r="H127" s="5">
        <v>16250000</v>
      </c>
      <c r="I127" s="5">
        <v>16550000</v>
      </c>
      <c r="J127" s="5">
        <v>163000000</v>
      </c>
      <c r="K127" s="5">
        <v>166000000</v>
      </c>
      <c r="L127" s="5">
        <v>0.97916666666666663</v>
      </c>
      <c r="M127" s="7">
        <v>4688.8999999999996</v>
      </c>
      <c r="N127" s="5">
        <v>163000000</v>
      </c>
      <c r="O127" s="5">
        <v>166000000</v>
      </c>
      <c r="P127" s="3">
        <v>0.97916666666666663</v>
      </c>
    </row>
    <row r="128" spans="1:16" x14ac:dyDescent="0.25">
      <c r="A128" s="2">
        <v>46208</v>
      </c>
      <c r="B128" s="2">
        <v>46149</v>
      </c>
      <c r="C128" t="s">
        <v>16</v>
      </c>
      <c r="D128" t="s">
        <v>159</v>
      </c>
      <c r="E128">
        <v>164000000</v>
      </c>
      <c r="F128" s="5">
        <v>167000000</v>
      </c>
      <c r="G128" s="5">
        <v>3000000</v>
      </c>
      <c r="H128" s="5">
        <v>16400000</v>
      </c>
      <c r="I128" s="5">
        <v>16700000</v>
      </c>
      <c r="J128" s="5">
        <v>164500000</v>
      </c>
      <c r="K128" s="5">
        <v>167500000</v>
      </c>
      <c r="L128" s="5">
        <v>0.97916666666666663</v>
      </c>
      <c r="M128" s="7">
        <v>4724</v>
      </c>
      <c r="N128" s="5">
        <v>164500000</v>
      </c>
      <c r="O128" s="5">
        <v>167500000</v>
      </c>
      <c r="P128" s="3">
        <v>0.97916666666666663</v>
      </c>
    </row>
    <row r="129" spans="1:16" x14ac:dyDescent="0.25">
      <c r="A129" s="2">
        <v>46239</v>
      </c>
      <c r="B129" s="2">
        <v>46150</v>
      </c>
      <c r="C129" t="s">
        <v>17</v>
      </c>
      <c r="D129" t="s">
        <v>159</v>
      </c>
      <c r="E129">
        <v>164000000</v>
      </c>
      <c r="F129" s="5">
        <v>167000000</v>
      </c>
      <c r="G129" s="5">
        <v>3000000</v>
      </c>
      <c r="H129" s="5">
        <v>16400000</v>
      </c>
      <c r="I129" s="5">
        <v>16700000</v>
      </c>
      <c r="J129" s="5">
        <v>164500000</v>
      </c>
      <c r="K129" s="5">
        <v>167500000</v>
      </c>
      <c r="L129" s="5">
        <v>0.97916666666666663</v>
      </c>
      <c r="M129" s="7">
        <v>4716.8999999999996</v>
      </c>
      <c r="N129" s="5">
        <v>164500000</v>
      </c>
      <c r="O129" s="5">
        <v>167500000</v>
      </c>
      <c r="P129" s="3">
        <v>0.97916666666666663</v>
      </c>
    </row>
    <row r="130" spans="1:16" x14ac:dyDescent="0.25">
      <c r="A130" s="2">
        <v>46270</v>
      </c>
      <c r="B130" s="2">
        <v>46151</v>
      </c>
      <c r="C130" t="s">
        <v>18</v>
      </c>
      <c r="D130" t="s">
        <v>159</v>
      </c>
      <c r="E130">
        <v>164000000</v>
      </c>
      <c r="F130" s="5">
        <v>167000000</v>
      </c>
      <c r="G130" s="5">
        <v>3000000</v>
      </c>
      <c r="H130" s="5">
        <v>16400000</v>
      </c>
      <c r="I130" s="5">
        <v>16700000</v>
      </c>
      <c r="J130" s="5">
        <v>164500000</v>
      </c>
      <c r="K130" s="5">
        <v>167500000</v>
      </c>
      <c r="L130" s="5">
        <v>0.1875</v>
      </c>
      <c r="M130" s="7">
        <v>4715.7</v>
      </c>
      <c r="N130" s="5">
        <v>164500000</v>
      </c>
      <c r="O130" s="5">
        <v>167500000</v>
      </c>
      <c r="P130" s="3">
        <v>0.1875</v>
      </c>
    </row>
    <row r="131" spans="1:16" x14ac:dyDescent="0.25">
      <c r="A131" s="2">
        <v>46300</v>
      </c>
      <c r="B131" s="2">
        <v>46152</v>
      </c>
      <c r="C131" t="s">
        <v>19</v>
      </c>
      <c r="D131" t="s">
        <v>159</v>
      </c>
      <c r="E131">
        <v>164000000</v>
      </c>
      <c r="F131" s="5">
        <v>167000000</v>
      </c>
      <c r="G131" s="5">
        <v>3000000</v>
      </c>
      <c r="H131" s="5">
        <v>16400000</v>
      </c>
      <c r="I131" s="5">
        <v>16700000</v>
      </c>
      <c r="J131" s="5">
        <v>164500000</v>
      </c>
      <c r="K131" s="5">
        <v>167500000</v>
      </c>
      <c r="L131" s="5">
        <v>0</v>
      </c>
      <c r="M131" s="7">
        <v>4715.7</v>
      </c>
      <c r="N131" s="5">
        <v>164500000</v>
      </c>
      <c r="O131" s="5">
        <v>167500000</v>
      </c>
      <c r="P131" s="3">
        <v>0</v>
      </c>
    </row>
    <row r="132" spans="1:16" x14ac:dyDescent="0.25">
      <c r="A132" s="2">
        <v>46331</v>
      </c>
      <c r="B132" s="2">
        <v>46153</v>
      </c>
      <c r="C132" t="s">
        <v>20</v>
      </c>
      <c r="D132" t="s">
        <v>159</v>
      </c>
      <c r="E132">
        <v>161700000</v>
      </c>
      <c r="F132" s="5">
        <v>164700000</v>
      </c>
      <c r="G132" s="5">
        <v>3000000</v>
      </c>
      <c r="H132" s="5">
        <v>16170000</v>
      </c>
      <c r="I132" s="5">
        <v>16470000</v>
      </c>
      <c r="J132" s="5">
        <v>162200000</v>
      </c>
      <c r="K132" s="5">
        <v>165200000</v>
      </c>
      <c r="L132" s="5">
        <v>0.97916666666666663</v>
      </c>
      <c r="M132" s="7">
        <v>4725.8999999999996</v>
      </c>
      <c r="N132" s="5">
        <v>162200000</v>
      </c>
      <c r="O132" s="5">
        <v>165200000</v>
      </c>
      <c r="P132" s="3">
        <v>0.97916666666666663</v>
      </c>
    </row>
    <row r="133" spans="1:16" x14ac:dyDescent="0.25">
      <c r="A133" s="2">
        <v>46361</v>
      </c>
      <c r="B133" s="2">
        <v>46154</v>
      </c>
      <c r="C133" t="s">
        <v>21</v>
      </c>
      <c r="D133" t="s">
        <v>159</v>
      </c>
      <c r="E133">
        <v>162300000</v>
      </c>
      <c r="F133" s="5">
        <v>165300000</v>
      </c>
      <c r="G133" s="5">
        <v>3000000</v>
      </c>
      <c r="H133" s="5">
        <v>16230000</v>
      </c>
      <c r="I133" s="5">
        <v>16530000</v>
      </c>
      <c r="J133" s="5">
        <v>162500000</v>
      </c>
      <c r="K133" s="5">
        <v>165500000</v>
      </c>
      <c r="L133" s="5">
        <v>0.97916666666666663</v>
      </c>
      <c r="M133" s="7">
        <v>4670.6000000000004</v>
      </c>
      <c r="N133" s="5">
        <v>162500000</v>
      </c>
      <c r="O133" s="5">
        <v>165500000</v>
      </c>
      <c r="P133" s="3">
        <v>0.97916666666666663</v>
      </c>
    </row>
    <row r="134" spans="1:16" x14ac:dyDescent="0.25">
      <c r="A134" t="s">
        <v>95</v>
      </c>
      <c r="B134" s="2">
        <v>46155</v>
      </c>
      <c r="C134" t="s">
        <v>22</v>
      </c>
      <c r="D134" t="s">
        <v>159</v>
      </c>
      <c r="E134">
        <v>161800000</v>
      </c>
      <c r="F134" s="5">
        <v>164800000</v>
      </c>
      <c r="G134" s="5">
        <v>3000000</v>
      </c>
      <c r="H134" s="5">
        <v>16180000</v>
      </c>
      <c r="I134" s="5">
        <v>16480000</v>
      </c>
      <c r="J134" s="5">
        <v>162000000</v>
      </c>
      <c r="K134" s="5">
        <v>165000000</v>
      </c>
      <c r="L134" s="5">
        <v>0.97916666666666663</v>
      </c>
      <c r="M134" s="7">
        <v>4710.8</v>
      </c>
      <c r="N134" s="5">
        <v>162000000</v>
      </c>
      <c r="O134" s="5">
        <v>165000000</v>
      </c>
      <c r="P134" s="3">
        <v>0.97916666666666663</v>
      </c>
    </row>
    <row r="135" spans="1:16" x14ac:dyDescent="0.25">
      <c r="A135" t="s">
        <v>96</v>
      </c>
      <c r="B135" s="2">
        <v>46156</v>
      </c>
      <c r="C135" t="s">
        <v>16</v>
      </c>
      <c r="D135" t="s">
        <v>159</v>
      </c>
      <c r="E135">
        <v>161800000</v>
      </c>
      <c r="F135" s="5">
        <v>164800000</v>
      </c>
      <c r="G135" s="5">
        <v>3000000</v>
      </c>
      <c r="H135" s="5">
        <v>16180000</v>
      </c>
      <c r="I135" s="5">
        <v>16480000</v>
      </c>
      <c r="J135" s="5">
        <v>162000000</v>
      </c>
      <c r="K135" s="5">
        <v>165000000</v>
      </c>
      <c r="L135" s="5">
        <v>0.97916666666666663</v>
      </c>
      <c r="M135" s="7">
        <v>4677.7</v>
      </c>
      <c r="N135" s="5">
        <v>162000000</v>
      </c>
      <c r="O135" s="5">
        <v>165000000</v>
      </c>
      <c r="P135" s="3">
        <v>0.97916666666666663</v>
      </c>
    </row>
    <row r="136" spans="1:16" x14ac:dyDescent="0.25">
      <c r="A136" t="s">
        <v>97</v>
      </c>
      <c r="B136" s="2">
        <v>46157</v>
      </c>
      <c r="C136" t="s">
        <v>17</v>
      </c>
      <c r="D136" t="s">
        <v>159</v>
      </c>
      <c r="E136">
        <v>160800000</v>
      </c>
      <c r="F136" s="5">
        <v>163800000</v>
      </c>
      <c r="G136" s="5">
        <v>3000000</v>
      </c>
      <c r="H136" s="5">
        <v>16080000</v>
      </c>
      <c r="I136" s="5">
        <v>16380000</v>
      </c>
      <c r="J136" s="5">
        <v>161000000</v>
      </c>
      <c r="K136" s="5">
        <v>164000000</v>
      </c>
      <c r="L136" s="5">
        <v>0.97916666666666663</v>
      </c>
      <c r="M136" s="7">
        <v>4540.8999999999996</v>
      </c>
      <c r="N136" s="5">
        <v>161000000</v>
      </c>
      <c r="O136" s="5">
        <v>164000000</v>
      </c>
      <c r="P136" s="3">
        <v>0.97916666666666663</v>
      </c>
    </row>
    <row r="137" spans="1:16" x14ac:dyDescent="0.25">
      <c r="A137" t="s">
        <v>98</v>
      </c>
      <c r="B137" s="2">
        <v>46158</v>
      </c>
      <c r="C137" t="s">
        <v>18</v>
      </c>
      <c r="D137" t="s">
        <v>159</v>
      </c>
      <c r="E137">
        <v>160300000</v>
      </c>
      <c r="F137" s="5">
        <v>163300000</v>
      </c>
      <c r="G137" s="5">
        <v>3000000</v>
      </c>
      <c r="H137" s="5">
        <v>16030000</v>
      </c>
      <c r="I137" s="5">
        <v>16330000</v>
      </c>
      <c r="J137" s="5">
        <v>160500000</v>
      </c>
      <c r="K137" s="5">
        <v>163500000</v>
      </c>
      <c r="L137" s="5">
        <v>0.47916666666666669</v>
      </c>
      <c r="M137" s="7">
        <v>4541.2</v>
      </c>
      <c r="N137" s="5">
        <v>160500000</v>
      </c>
      <c r="O137" s="5">
        <v>163500000</v>
      </c>
      <c r="P137" s="3">
        <v>0.47916666666666669</v>
      </c>
    </row>
    <row r="138" spans="1:16" x14ac:dyDescent="0.25">
      <c r="A138" t="s">
        <v>99</v>
      </c>
      <c r="B138" s="2">
        <v>46159</v>
      </c>
      <c r="C138" t="s">
        <v>19</v>
      </c>
      <c r="D138" t="s">
        <v>159</v>
      </c>
      <c r="E138">
        <v>160300000</v>
      </c>
      <c r="F138" s="5">
        <v>163300000</v>
      </c>
      <c r="G138" s="5">
        <v>3000000</v>
      </c>
      <c r="H138" s="5">
        <v>16030000</v>
      </c>
      <c r="I138" s="5">
        <v>16330000</v>
      </c>
      <c r="J138" s="5">
        <v>160500000</v>
      </c>
      <c r="K138" s="5">
        <v>163500000</v>
      </c>
      <c r="L138" s="5">
        <v>0</v>
      </c>
      <c r="M138" s="7">
        <v>4541.2</v>
      </c>
      <c r="N138" s="5">
        <v>160500000</v>
      </c>
      <c r="O138" s="5">
        <v>163500000</v>
      </c>
      <c r="P138" s="3">
        <v>0</v>
      </c>
    </row>
    <row r="139" spans="1:16" x14ac:dyDescent="0.25">
      <c r="A139" t="s">
        <v>100</v>
      </c>
      <c r="B139" s="2">
        <v>46160</v>
      </c>
      <c r="C139" t="s">
        <v>20</v>
      </c>
      <c r="D139" t="s">
        <v>159</v>
      </c>
      <c r="E139">
        <v>160300000</v>
      </c>
      <c r="F139" s="5">
        <v>163300000</v>
      </c>
      <c r="G139" s="5">
        <v>3000000</v>
      </c>
      <c r="H139" s="5">
        <v>16030000</v>
      </c>
      <c r="I139" s="5">
        <v>16330000</v>
      </c>
      <c r="J139" s="5">
        <v>161300000</v>
      </c>
      <c r="K139" s="5">
        <v>163800000</v>
      </c>
      <c r="L139" s="5">
        <v>0.97916666666666663</v>
      </c>
      <c r="M139" s="7">
        <v>4541.2</v>
      </c>
      <c r="N139" s="5">
        <v>161300000</v>
      </c>
      <c r="O139" s="5">
        <v>163800000</v>
      </c>
      <c r="P139" s="3">
        <v>0.97916666666666663</v>
      </c>
    </row>
    <row r="140" spans="1:16" x14ac:dyDescent="0.25">
      <c r="A140" t="s">
        <v>101</v>
      </c>
      <c r="B140" s="2">
        <v>46161</v>
      </c>
      <c r="C140" t="s">
        <v>21</v>
      </c>
      <c r="D140" t="s">
        <v>159</v>
      </c>
      <c r="E140">
        <v>160300000</v>
      </c>
      <c r="F140" s="5">
        <v>163300000</v>
      </c>
      <c r="G140" s="5">
        <v>3000000</v>
      </c>
      <c r="H140" s="5">
        <v>16030000</v>
      </c>
      <c r="I140" s="5">
        <v>16330000</v>
      </c>
      <c r="J140" s="5">
        <v>161000000</v>
      </c>
      <c r="K140" s="5">
        <v>163500000</v>
      </c>
      <c r="L140" s="5">
        <v>0.97916666666666663</v>
      </c>
      <c r="M140" s="7">
        <v>4509.5</v>
      </c>
      <c r="N140" s="5">
        <v>161000000</v>
      </c>
      <c r="O140" s="5">
        <v>163500000</v>
      </c>
      <c r="P140" s="3">
        <v>0.97916666666666663</v>
      </c>
    </row>
    <row r="141" spans="1:16" x14ac:dyDescent="0.25">
      <c r="A141" t="s">
        <v>102</v>
      </c>
      <c r="B141" s="2">
        <v>46162</v>
      </c>
      <c r="C141" t="s">
        <v>22</v>
      </c>
      <c r="D141" t="s">
        <v>159</v>
      </c>
      <c r="E141">
        <v>158000000</v>
      </c>
      <c r="F141" s="5">
        <v>161000000</v>
      </c>
      <c r="G141" s="5">
        <v>3000000</v>
      </c>
      <c r="H141" s="5">
        <v>15800000</v>
      </c>
      <c r="I141" s="5">
        <v>16100000</v>
      </c>
      <c r="J141" s="5">
        <v>159000000</v>
      </c>
      <c r="K141" s="5">
        <v>162000000</v>
      </c>
      <c r="L141" s="5">
        <v>0.97916666666666663</v>
      </c>
      <c r="M141" s="7">
        <v>4528.3999999999996</v>
      </c>
      <c r="N141" s="5">
        <v>159000000</v>
      </c>
      <c r="O141" s="5">
        <v>162000000</v>
      </c>
      <c r="P141" s="3">
        <v>0.97916666666666663</v>
      </c>
    </row>
    <row r="142" spans="1:16" x14ac:dyDescent="0.25">
      <c r="A142" t="s">
        <v>103</v>
      </c>
      <c r="B142" s="2">
        <v>46163</v>
      </c>
      <c r="C142" t="s">
        <v>16</v>
      </c>
      <c r="D142" t="s">
        <v>159</v>
      </c>
      <c r="E142">
        <v>158900000</v>
      </c>
      <c r="F142" s="5">
        <v>161900000</v>
      </c>
      <c r="G142" s="5">
        <v>3000000</v>
      </c>
      <c r="H142" s="5">
        <v>15890000</v>
      </c>
      <c r="I142" s="5">
        <v>16190000</v>
      </c>
      <c r="J142" s="5">
        <v>159400000</v>
      </c>
      <c r="K142" s="5">
        <v>162400000</v>
      </c>
      <c r="L142" s="5">
        <v>0.97916666666666663</v>
      </c>
      <c r="M142" s="7">
        <v>4518.3999999999996</v>
      </c>
      <c r="N142" s="5">
        <v>159400000</v>
      </c>
      <c r="O142" s="5">
        <v>162400000</v>
      </c>
      <c r="P142" s="3">
        <v>0.97916666666666663</v>
      </c>
    </row>
    <row r="143" spans="1:16" x14ac:dyDescent="0.25">
      <c r="A143" t="s">
        <v>104</v>
      </c>
      <c r="B143" s="2">
        <v>46164</v>
      </c>
      <c r="C143" t="s">
        <v>17</v>
      </c>
      <c r="D143" t="s">
        <v>159</v>
      </c>
      <c r="E143">
        <v>158500000</v>
      </c>
      <c r="F143" s="5">
        <v>161500000</v>
      </c>
      <c r="G143" s="5">
        <v>3000000</v>
      </c>
      <c r="H143" s="5">
        <v>15850000</v>
      </c>
      <c r="I143" s="5">
        <v>16150000</v>
      </c>
      <c r="J143" s="5">
        <v>159000000</v>
      </c>
      <c r="K143" s="5">
        <v>162000000</v>
      </c>
      <c r="L143" s="5">
        <v>0.97916666666666663</v>
      </c>
      <c r="M143" s="7">
        <v>4524</v>
      </c>
      <c r="N143" s="5">
        <v>159000000</v>
      </c>
      <c r="O143" s="5">
        <v>162000000</v>
      </c>
      <c r="P143" s="3">
        <v>0.97916666666666663</v>
      </c>
    </row>
    <row r="144" spans="1:16" x14ac:dyDescent="0.25">
      <c r="A144" t="s">
        <v>105</v>
      </c>
      <c r="B144" s="2">
        <v>46165</v>
      </c>
      <c r="C144" t="s">
        <v>18</v>
      </c>
      <c r="D144" t="s">
        <v>159</v>
      </c>
      <c r="E144">
        <v>158000000</v>
      </c>
      <c r="F144" s="5">
        <v>161000000</v>
      </c>
      <c r="G144" s="5">
        <v>3000000</v>
      </c>
      <c r="H144" s="5">
        <v>15800000</v>
      </c>
      <c r="I144" s="5">
        <v>16100000</v>
      </c>
      <c r="J144" s="5">
        <v>158500000</v>
      </c>
      <c r="K144" s="5">
        <v>161500000</v>
      </c>
      <c r="L144" s="5">
        <v>0.39583333333333331</v>
      </c>
      <c r="M144" s="7">
        <v>4510.5</v>
      </c>
      <c r="N144" s="5">
        <v>158500000</v>
      </c>
      <c r="O144" s="5">
        <v>161500000</v>
      </c>
      <c r="P144" s="3">
        <v>0.39583333333333331</v>
      </c>
    </row>
    <row r="145" spans="1:16" x14ac:dyDescent="0.25">
      <c r="A145" t="s">
        <v>106</v>
      </c>
      <c r="B145" s="2">
        <v>46166</v>
      </c>
      <c r="C145" t="s">
        <v>19</v>
      </c>
      <c r="D145" t="s">
        <v>159</v>
      </c>
      <c r="E145">
        <v>158000000</v>
      </c>
      <c r="F145" s="5">
        <v>161000000</v>
      </c>
      <c r="G145" s="5">
        <v>3000000</v>
      </c>
      <c r="H145" s="5">
        <v>15800000</v>
      </c>
      <c r="I145" s="5">
        <v>16100000</v>
      </c>
      <c r="J145" s="5">
        <v>158500000</v>
      </c>
      <c r="K145" s="5">
        <v>161500000</v>
      </c>
      <c r="L145" s="5">
        <v>0</v>
      </c>
      <c r="M145" s="7">
        <v>4510.5</v>
      </c>
      <c r="N145" s="5">
        <v>158500000</v>
      </c>
      <c r="O145" s="5">
        <v>161500000</v>
      </c>
      <c r="P145" s="3">
        <v>0</v>
      </c>
    </row>
    <row r="146" spans="1:16" x14ac:dyDescent="0.25">
      <c r="A146" t="s">
        <v>107</v>
      </c>
      <c r="B146" s="2">
        <v>46167</v>
      </c>
      <c r="C146" t="s">
        <v>20</v>
      </c>
      <c r="D146" t="s">
        <v>159</v>
      </c>
      <c r="E146">
        <v>158500000</v>
      </c>
      <c r="F146" s="5">
        <v>161500000</v>
      </c>
      <c r="G146" s="5">
        <v>3000000</v>
      </c>
      <c r="H146" s="5">
        <v>15850000</v>
      </c>
      <c r="I146" s="5">
        <v>16150000</v>
      </c>
      <c r="J146" s="5">
        <v>159000000</v>
      </c>
      <c r="K146" s="5">
        <v>162000000</v>
      </c>
      <c r="L146" s="5">
        <v>0.97916666666666663</v>
      </c>
      <c r="M146" s="7">
        <v>4570.8999999999996</v>
      </c>
      <c r="N146" s="5">
        <v>159000000</v>
      </c>
      <c r="O146" s="5">
        <v>162000000</v>
      </c>
      <c r="P146" s="3">
        <v>0.97916666666666663</v>
      </c>
    </row>
    <row r="147" spans="1:16" x14ac:dyDescent="0.25">
      <c r="A147" t="s">
        <v>108</v>
      </c>
      <c r="B147" s="2">
        <v>46168</v>
      </c>
      <c r="C147" t="s">
        <v>21</v>
      </c>
      <c r="D147" t="s">
        <v>159</v>
      </c>
      <c r="E147">
        <v>158000000</v>
      </c>
      <c r="F147" s="5">
        <v>161000000</v>
      </c>
      <c r="G147" s="5">
        <v>3000000</v>
      </c>
      <c r="H147" s="5">
        <v>15800000</v>
      </c>
      <c r="I147" s="5">
        <v>16100000</v>
      </c>
      <c r="J147" s="5">
        <v>158500000</v>
      </c>
      <c r="K147" s="5">
        <v>161500000</v>
      </c>
      <c r="L147" s="5">
        <v>0.97916666666666663</v>
      </c>
      <c r="M147" s="7">
        <v>4509</v>
      </c>
      <c r="N147" s="5">
        <v>158500000</v>
      </c>
      <c r="O147" s="5">
        <v>161500000</v>
      </c>
      <c r="P147" s="3">
        <v>0.97916666666666663</v>
      </c>
    </row>
    <row r="148" spans="1:16" x14ac:dyDescent="0.25">
      <c r="A148" t="s">
        <v>109</v>
      </c>
      <c r="B148" s="2">
        <v>46169</v>
      </c>
      <c r="C148" t="s">
        <v>22</v>
      </c>
      <c r="D148" t="s">
        <v>159</v>
      </c>
      <c r="E148">
        <v>157200000</v>
      </c>
      <c r="F148" s="5">
        <v>160200000</v>
      </c>
      <c r="G148" s="5">
        <v>3000000</v>
      </c>
      <c r="H148" s="5">
        <v>15720000</v>
      </c>
      <c r="I148" s="5">
        <v>16020000</v>
      </c>
      <c r="J148" s="5">
        <v>157700000</v>
      </c>
      <c r="K148" s="5">
        <v>160700000</v>
      </c>
      <c r="L148" s="5">
        <v>0.97916666666666663</v>
      </c>
      <c r="M148" s="7">
        <v>4447.1000000000004</v>
      </c>
      <c r="N148" s="5">
        <v>157700000</v>
      </c>
      <c r="O148" s="5">
        <v>160700000</v>
      </c>
      <c r="P148" s="3">
        <v>0.97916666666666663</v>
      </c>
    </row>
    <row r="149" spans="1:16" x14ac:dyDescent="0.25">
      <c r="A149" t="s">
        <v>110</v>
      </c>
      <c r="B149" s="2">
        <v>46170</v>
      </c>
      <c r="C149" t="s">
        <v>16</v>
      </c>
      <c r="D149" t="s">
        <v>159</v>
      </c>
      <c r="E149">
        <v>154300000</v>
      </c>
      <c r="F149" s="5">
        <v>157300000</v>
      </c>
      <c r="G149" s="5">
        <v>3000000</v>
      </c>
      <c r="H149" s="5">
        <v>15430000</v>
      </c>
      <c r="I149" s="5">
        <v>15730000</v>
      </c>
      <c r="J149" s="5">
        <v>154500000</v>
      </c>
      <c r="K149" s="5">
        <v>157500000</v>
      </c>
      <c r="L149" s="5">
        <v>0.97916666666666663</v>
      </c>
      <c r="M149" s="7">
        <v>4501.5</v>
      </c>
      <c r="N149" s="5">
        <v>154500000</v>
      </c>
      <c r="O149" s="5">
        <v>157500000</v>
      </c>
      <c r="P149" s="3">
        <v>0.97916666666666663</v>
      </c>
    </row>
    <row r="150" spans="1:16" x14ac:dyDescent="0.25">
      <c r="A150" t="s">
        <v>111</v>
      </c>
      <c r="B150" s="2">
        <v>46171</v>
      </c>
      <c r="C150" t="s">
        <v>17</v>
      </c>
      <c r="D150" t="s">
        <v>159</v>
      </c>
      <c r="E150">
        <v>155300000</v>
      </c>
      <c r="F150" s="5">
        <v>158300000</v>
      </c>
      <c r="G150" s="5">
        <v>3000000</v>
      </c>
      <c r="H150" s="5">
        <v>15530000</v>
      </c>
      <c r="I150" s="5">
        <v>15830000</v>
      </c>
      <c r="J150" s="5">
        <v>155500000</v>
      </c>
      <c r="K150" s="5">
        <v>158500000</v>
      </c>
      <c r="L150" s="5">
        <v>0.97916666666666663</v>
      </c>
      <c r="M150" s="7">
        <v>4563</v>
      </c>
      <c r="N150" s="5">
        <v>155500000</v>
      </c>
      <c r="O150" s="5">
        <v>158500000</v>
      </c>
      <c r="P150" s="3">
        <v>0.97916666666666663</v>
      </c>
    </row>
    <row r="151" spans="1:16" x14ac:dyDescent="0.25">
      <c r="A151" t="s">
        <v>112</v>
      </c>
      <c r="B151" s="2">
        <v>46172</v>
      </c>
      <c r="C151" t="s">
        <v>18</v>
      </c>
      <c r="D151" t="s">
        <v>159</v>
      </c>
      <c r="E151">
        <v>155800000</v>
      </c>
      <c r="F151" s="5">
        <v>158800000</v>
      </c>
      <c r="G151" s="5">
        <v>3000000</v>
      </c>
      <c r="H151" s="5">
        <v>15580000</v>
      </c>
      <c r="I151" s="5">
        <v>15880000</v>
      </c>
      <c r="J151" s="5">
        <v>156000000</v>
      </c>
      <c r="K151" s="5">
        <v>159000000</v>
      </c>
      <c r="L151" s="5">
        <v>0.39583333333333331</v>
      </c>
      <c r="M151" s="7">
        <v>4540.3</v>
      </c>
      <c r="N151" s="5">
        <v>156000000</v>
      </c>
      <c r="O151" s="5">
        <v>159000000</v>
      </c>
      <c r="P151" s="3">
        <v>0.39583333333333331</v>
      </c>
    </row>
    <row r="152" spans="1:16" x14ac:dyDescent="0.25">
      <c r="A152" t="s">
        <v>113</v>
      </c>
      <c r="B152" s="2">
        <v>46173</v>
      </c>
      <c r="C152" t="s">
        <v>19</v>
      </c>
      <c r="D152" t="s">
        <v>159</v>
      </c>
      <c r="E152">
        <v>155800000</v>
      </c>
      <c r="F152" s="5">
        <v>158800000</v>
      </c>
      <c r="G152" s="5">
        <v>3000000</v>
      </c>
      <c r="H152" s="5">
        <v>15580000</v>
      </c>
      <c r="I152" s="5">
        <v>15880000</v>
      </c>
      <c r="J152" s="5">
        <v>156000000</v>
      </c>
      <c r="K152" s="5">
        <v>159000000</v>
      </c>
      <c r="L152" s="5">
        <v>0</v>
      </c>
      <c r="M152" s="7">
        <v>4540.3</v>
      </c>
      <c r="N152" s="5">
        <v>156000000</v>
      </c>
      <c r="O152" s="5">
        <v>159000000</v>
      </c>
      <c r="P152" s="3">
        <v>0</v>
      </c>
    </row>
    <row r="153" spans="1:16" x14ac:dyDescent="0.25">
      <c r="A153" s="2">
        <v>46028</v>
      </c>
      <c r="B153" s="2">
        <v>46174</v>
      </c>
      <c r="C153" t="s">
        <v>20</v>
      </c>
      <c r="D153" t="s">
        <v>159</v>
      </c>
      <c r="E153">
        <v>155300000</v>
      </c>
      <c r="F153" s="5">
        <v>158300000</v>
      </c>
      <c r="G153" s="5">
        <v>3000000</v>
      </c>
      <c r="H153" s="5">
        <v>15530000</v>
      </c>
      <c r="I153" s="5">
        <v>15830000</v>
      </c>
      <c r="J153" s="5">
        <v>155500000</v>
      </c>
      <c r="K153" s="5">
        <v>158500000</v>
      </c>
      <c r="L153" s="5">
        <v>0.97916666666666663</v>
      </c>
      <c r="M153" s="7">
        <v>4468.2</v>
      </c>
      <c r="N153" s="5">
        <v>155500000</v>
      </c>
      <c r="O153" s="5">
        <v>158500000</v>
      </c>
      <c r="P153" s="3">
        <v>0.97916666666666663</v>
      </c>
    </row>
    <row r="154" spans="1:16" x14ac:dyDescent="0.25">
      <c r="A154" s="2">
        <v>46059</v>
      </c>
      <c r="B154" s="2">
        <v>46175</v>
      </c>
      <c r="C154" t="s">
        <v>21</v>
      </c>
      <c r="D154" t="s">
        <v>159</v>
      </c>
      <c r="E154">
        <v>154300000</v>
      </c>
      <c r="F154" s="5">
        <v>157300000</v>
      </c>
      <c r="G154" s="5">
        <v>3000000</v>
      </c>
      <c r="H154" s="5">
        <v>15430000</v>
      </c>
      <c r="I154" s="5">
        <v>15730000</v>
      </c>
      <c r="J154" s="5">
        <v>154500000</v>
      </c>
      <c r="K154" s="5">
        <v>157500000</v>
      </c>
      <c r="L154" s="5">
        <v>0.97916666666666663</v>
      </c>
      <c r="M154" s="7">
        <v>4492.7</v>
      </c>
      <c r="N154" s="5">
        <v>154500000</v>
      </c>
      <c r="O154" s="5">
        <v>157500000</v>
      </c>
      <c r="P154" s="3">
        <v>0.97916666666666663</v>
      </c>
    </row>
    <row r="155" spans="1:16" x14ac:dyDescent="0.25">
      <c r="A155" s="2">
        <v>46087</v>
      </c>
      <c r="B155" s="2">
        <v>46176</v>
      </c>
      <c r="C155" t="s">
        <v>22</v>
      </c>
      <c r="D155" t="s">
        <v>159</v>
      </c>
      <c r="E155">
        <v>153800000</v>
      </c>
      <c r="F155" s="5">
        <v>156800000</v>
      </c>
      <c r="G155" s="5">
        <v>3000000</v>
      </c>
      <c r="H155" s="5">
        <v>15380000</v>
      </c>
      <c r="I155" s="5">
        <v>15680000</v>
      </c>
      <c r="J155" s="5">
        <v>154000000</v>
      </c>
      <c r="K155" s="5">
        <v>157000000</v>
      </c>
      <c r="L155" s="5">
        <v>0.97916666666666663</v>
      </c>
      <c r="M155" s="7">
        <v>4437.8999999999996</v>
      </c>
      <c r="N155" s="5">
        <v>154000000</v>
      </c>
      <c r="O155" s="5">
        <v>157000000</v>
      </c>
      <c r="P155" s="3">
        <v>0.97916666666666663</v>
      </c>
    </row>
    <row r="156" spans="1:16" x14ac:dyDescent="0.25">
      <c r="A156" s="2">
        <v>46118</v>
      </c>
      <c r="B156" s="2">
        <v>46177</v>
      </c>
      <c r="C156" t="s">
        <v>16</v>
      </c>
      <c r="D156" t="s">
        <v>159</v>
      </c>
      <c r="E156">
        <v>152800000</v>
      </c>
      <c r="F156" s="5">
        <v>155800000</v>
      </c>
      <c r="G156" s="5">
        <v>3000000</v>
      </c>
      <c r="H156" s="5">
        <v>15280000</v>
      </c>
      <c r="I156" s="5">
        <v>15580000</v>
      </c>
      <c r="J156" s="5">
        <v>153000000</v>
      </c>
      <c r="K156" s="5">
        <v>156000000</v>
      </c>
      <c r="L156" s="5">
        <v>0.97916666666666663</v>
      </c>
      <c r="M156" s="7">
        <v>4485.3</v>
      </c>
      <c r="N156" s="5">
        <v>153000000</v>
      </c>
      <c r="O156" s="5">
        <v>156000000</v>
      </c>
      <c r="P156" s="3">
        <v>0.97916666666666663</v>
      </c>
    </row>
    <row r="157" spans="1:16" x14ac:dyDescent="0.25">
      <c r="A157" s="2">
        <v>46148</v>
      </c>
      <c r="B157" s="2">
        <v>46178</v>
      </c>
      <c r="C157" t="s">
        <v>17</v>
      </c>
      <c r="D157" t="s">
        <v>159</v>
      </c>
      <c r="E157">
        <v>149000000</v>
      </c>
      <c r="F157" s="5">
        <v>153000000</v>
      </c>
      <c r="G157" s="5">
        <v>4000000</v>
      </c>
      <c r="H157" s="5">
        <v>14900000</v>
      </c>
      <c r="I157" s="5">
        <v>15300000</v>
      </c>
      <c r="J157" s="5">
        <v>149200000</v>
      </c>
      <c r="K157" s="5">
        <v>153200000</v>
      </c>
      <c r="L157" s="5">
        <v>0.97916666666666663</v>
      </c>
      <c r="M157" s="7">
        <v>4332.5</v>
      </c>
      <c r="N157" s="5">
        <v>149200000</v>
      </c>
      <c r="O157" s="5">
        <v>153200000</v>
      </c>
      <c r="P157" s="3">
        <v>0.97916666666666663</v>
      </c>
    </row>
    <row r="158" spans="1:16" x14ac:dyDescent="0.25">
      <c r="A158" s="2">
        <v>46179</v>
      </c>
      <c r="B158" s="2">
        <v>46179</v>
      </c>
      <c r="C158" t="s">
        <v>18</v>
      </c>
      <c r="D158" t="s">
        <v>159</v>
      </c>
      <c r="E158">
        <v>146000000</v>
      </c>
      <c r="F158" s="5">
        <v>150000000</v>
      </c>
      <c r="G158" s="5">
        <v>4000000</v>
      </c>
      <c r="H158" s="5">
        <v>14600000</v>
      </c>
      <c r="I158" s="5">
        <v>15000000</v>
      </c>
      <c r="J158" s="5">
        <v>146200000</v>
      </c>
      <c r="K158" s="5">
        <v>150200000</v>
      </c>
      <c r="L158" s="5">
        <v>0.39583333333333331</v>
      </c>
      <c r="M158" s="7">
        <v>4330</v>
      </c>
      <c r="N158" s="5">
        <v>146200000</v>
      </c>
      <c r="O158" s="5">
        <v>150200000</v>
      </c>
      <c r="P158" s="3">
        <v>0.39583333333333331</v>
      </c>
    </row>
    <row r="159" spans="1:16" x14ac:dyDescent="0.25">
      <c r="A159" s="2">
        <v>46209</v>
      </c>
      <c r="B159" s="2">
        <v>46180</v>
      </c>
      <c r="C159" t="s">
        <v>19</v>
      </c>
      <c r="D159" t="s">
        <v>159</v>
      </c>
      <c r="E159">
        <v>146000000</v>
      </c>
      <c r="F159" s="5">
        <v>150000000</v>
      </c>
      <c r="G159" s="5">
        <v>4000000</v>
      </c>
      <c r="H159" s="5">
        <v>14600000</v>
      </c>
      <c r="I159" s="5">
        <v>15000000</v>
      </c>
      <c r="J159" s="5">
        <v>146200000</v>
      </c>
      <c r="K159" s="5">
        <v>150200000</v>
      </c>
      <c r="L159" s="5">
        <v>0</v>
      </c>
      <c r="M159" s="7">
        <v>4330</v>
      </c>
      <c r="N159" s="5">
        <v>146200000</v>
      </c>
      <c r="O159" s="5">
        <v>150200000</v>
      </c>
      <c r="P159" s="3">
        <v>0</v>
      </c>
    </row>
    <row r="160" spans="1:16" x14ac:dyDescent="0.25">
      <c r="A160" s="2">
        <v>46240</v>
      </c>
      <c r="B160" s="2">
        <v>46181</v>
      </c>
      <c r="C160" t="s">
        <v>20</v>
      </c>
      <c r="D160" t="s">
        <v>159</v>
      </c>
      <c r="E160">
        <v>138600000</v>
      </c>
      <c r="F160" s="5">
        <v>143600000</v>
      </c>
      <c r="G160" s="5">
        <v>5000000</v>
      </c>
      <c r="H160" s="5">
        <v>13860000</v>
      </c>
      <c r="I160" s="5">
        <v>14360000</v>
      </c>
      <c r="J160" s="5">
        <v>138800000</v>
      </c>
      <c r="K160" s="5">
        <v>143800000</v>
      </c>
      <c r="L160" s="5">
        <v>0.97916666666666663</v>
      </c>
      <c r="M160" s="7">
        <v>4343.7</v>
      </c>
      <c r="N160" s="5">
        <v>138800000</v>
      </c>
      <c r="O160" s="5">
        <v>143800000</v>
      </c>
      <c r="P160" s="3">
        <v>0.97916666666666663</v>
      </c>
    </row>
    <row r="161" spans="1:16" x14ac:dyDescent="0.25">
      <c r="A161" s="2">
        <v>46271</v>
      </c>
      <c r="B161" s="2">
        <v>46182</v>
      </c>
      <c r="C161" t="s">
        <v>21</v>
      </c>
      <c r="D161" t="s">
        <v>159</v>
      </c>
      <c r="E161">
        <v>138600000</v>
      </c>
      <c r="F161" s="5">
        <v>143600000</v>
      </c>
      <c r="G161" s="5">
        <v>5000000</v>
      </c>
      <c r="H161" s="5">
        <v>13860000</v>
      </c>
      <c r="I161" s="5">
        <v>14360000</v>
      </c>
      <c r="J161" s="5">
        <v>138800000</v>
      </c>
      <c r="K161" s="5">
        <v>143800000</v>
      </c>
      <c r="L161" s="5">
        <v>0.97916666666666663</v>
      </c>
      <c r="M161" s="7">
        <v>4264.2</v>
      </c>
      <c r="N161" s="5">
        <v>138800000</v>
      </c>
      <c r="O161" s="5">
        <v>143800000</v>
      </c>
      <c r="P161" s="3">
        <v>0.97916666666666663</v>
      </c>
    </row>
    <row r="162" spans="1:16" x14ac:dyDescent="0.25">
      <c r="A162" s="2">
        <v>46301</v>
      </c>
      <c r="B162" s="2">
        <v>46183</v>
      </c>
      <c r="C162" t="s">
        <v>22</v>
      </c>
      <c r="D162" t="s">
        <v>159</v>
      </c>
      <c r="E162">
        <v>133200000</v>
      </c>
      <c r="F162" s="5">
        <v>138200000</v>
      </c>
      <c r="G162" s="5">
        <v>5000000</v>
      </c>
      <c r="H162" s="5">
        <v>13320000</v>
      </c>
      <c r="I162" s="5">
        <v>13820000</v>
      </c>
      <c r="J162" s="5">
        <v>133300000</v>
      </c>
      <c r="K162" s="5">
        <v>138300000</v>
      </c>
      <c r="L162" s="5">
        <v>0.97916666666666663</v>
      </c>
      <c r="M162" s="7">
        <v>4132.7</v>
      </c>
      <c r="N162" s="5">
        <v>133300000</v>
      </c>
      <c r="O162" s="5">
        <v>138300000</v>
      </c>
      <c r="P162" s="3">
        <v>0.97916666666666663</v>
      </c>
    </row>
    <row r="163" spans="1:16" x14ac:dyDescent="0.25">
      <c r="A163" s="2">
        <v>46332</v>
      </c>
      <c r="B163" s="2">
        <v>46184</v>
      </c>
      <c r="C163" t="s">
        <v>16</v>
      </c>
      <c r="D163" t="s">
        <v>159</v>
      </c>
      <c r="E163">
        <v>133300000</v>
      </c>
      <c r="F163" s="5">
        <v>138300000</v>
      </c>
      <c r="G163" s="5">
        <v>5000000</v>
      </c>
      <c r="H163" s="5">
        <v>13330000</v>
      </c>
      <c r="I163" s="5">
        <v>13830000</v>
      </c>
      <c r="J163" s="5">
        <v>133400000</v>
      </c>
      <c r="K163" s="5">
        <v>138400000</v>
      </c>
      <c r="L163" s="5">
        <v>0.97916666666666663</v>
      </c>
      <c r="M163" s="7">
        <v>4084.6</v>
      </c>
      <c r="N163" s="5">
        <v>133400000</v>
      </c>
      <c r="O163" s="5">
        <v>138400000</v>
      </c>
      <c r="P163" s="3">
        <v>0.97916666666666663</v>
      </c>
    </row>
    <row r="164" spans="1:16" x14ac:dyDescent="0.25">
      <c r="A164" s="2">
        <v>46362</v>
      </c>
      <c r="B164" s="2">
        <v>46185</v>
      </c>
      <c r="C164" t="s">
        <v>17</v>
      </c>
      <c r="D164" t="s">
        <v>159</v>
      </c>
      <c r="E164">
        <v>142300000</v>
      </c>
      <c r="F164" s="5">
        <v>145300000</v>
      </c>
      <c r="G164" s="5">
        <v>3000000</v>
      </c>
      <c r="H164" s="5">
        <v>14230000</v>
      </c>
      <c r="I164" s="5">
        <v>14530000</v>
      </c>
      <c r="J164" s="5">
        <v>142400000</v>
      </c>
      <c r="K164" s="5">
        <v>145400000</v>
      </c>
      <c r="L164" s="5">
        <v>0.97916666666666663</v>
      </c>
      <c r="M164" s="7">
        <v>4218.5</v>
      </c>
      <c r="N164" s="5">
        <v>142400000</v>
      </c>
      <c r="O164" s="5">
        <v>145400000</v>
      </c>
      <c r="P164" s="3">
        <v>0.97916666666666663</v>
      </c>
    </row>
    <row r="165" spans="1:16" x14ac:dyDescent="0.25">
      <c r="A165" t="s">
        <v>114</v>
      </c>
      <c r="B165" s="2">
        <v>46186</v>
      </c>
      <c r="C165" t="s">
        <v>18</v>
      </c>
      <c r="D165" t="s">
        <v>159</v>
      </c>
      <c r="E165">
        <v>143900000</v>
      </c>
      <c r="F165" s="5">
        <v>146900000</v>
      </c>
      <c r="G165" s="5">
        <v>3000000</v>
      </c>
      <c r="H165" s="5">
        <v>14390000</v>
      </c>
      <c r="I165" s="5">
        <v>14690000</v>
      </c>
      <c r="J165" s="5">
        <v>144000000</v>
      </c>
      <c r="K165" s="5">
        <v>147000000</v>
      </c>
      <c r="L165" s="5">
        <v>0.45833333333333331</v>
      </c>
      <c r="M165" s="7">
        <v>4220.3</v>
      </c>
      <c r="N165" s="5">
        <v>144000000</v>
      </c>
      <c r="O165" s="5">
        <v>147000000</v>
      </c>
      <c r="P165" s="3">
        <v>0.45833333333333331</v>
      </c>
    </row>
    <row r="166" spans="1:16" x14ac:dyDescent="0.25">
      <c r="A166" t="s">
        <v>115</v>
      </c>
      <c r="B166" s="2">
        <v>46187</v>
      </c>
      <c r="C166" t="s">
        <v>19</v>
      </c>
      <c r="D166" t="s">
        <v>159</v>
      </c>
      <c r="E166">
        <v>143900000</v>
      </c>
      <c r="F166" s="5">
        <v>146900000</v>
      </c>
      <c r="G166" s="5">
        <v>3000000</v>
      </c>
      <c r="H166" s="5">
        <v>14390000</v>
      </c>
      <c r="I166" s="5">
        <v>14690000</v>
      </c>
      <c r="J166" s="5">
        <v>144000000</v>
      </c>
      <c r="K166" s="5">
        <v>147000000</v>
      </c>
      <c r="L166" s="5">
        <v>0</v>
      </c>
      <c r="M166" s="7">
        <v>4220.3</v>
      </c>
      <c r="N166" s="5">
        <v>144000000</v>
      </c>
      <c r="O166" s="5">
        <v>147000000</v>
      </c>
      <c r="P166" s="3">
        <v>0</v>
      </c>
    </row>
    <row r="167" spans="1:16" x14ac:dyDescent="0.25">
      <c r="A167" t="s">
        <v>116</v>
      </c>
      <c r="B167" s="2">
        <v>46188</v>
      </c>
      <c r="C167" t="s">
        <v>20</v>
      </c>
      <c r="D167" t="s">
        <v>159</v>
      </c>
      <c r="E167">
        <v>147900000</v>
      </c>
      <c r="F167" s="5">
        <v>150400000</v>
      </c>
      <c r="G167" s="5">
        <v>2500000</v>
      </c>
      <c r="H167" s="5">
        <v>14790000</v>
      </c>
      <c r="I167" s="5">
        <v>15040000</v>
      </c>
      <c r="J167" s="5">
        <v>148000000</v>
      </c>
      <c r="K167" s="5">
        <v>150500000</v>
      </c>
      <c r="L167" s="5">
        <v>0.97916666666666663</v>
      </c>
      <c r="M167" s="7">
        <v>4342.3999999999996</v>
      </c>
      <c r="N167" s="5">
        <v>148000000</v>
      </c>
      <c r="O167" s="5">
        <v>150500000</v>
      </c>
      <c r="P167" s="3">
        <v>0.97916666666666663</v>
      </c>
    </row>
    <row r="168" spans="1:16" x14ac:dyDescent="0.25">
      <c r="A168" t="s">
        <v>117</v>
      </c>
      <c r="B168" s="2">
        <v>46189</v>
      </c>
      <c r="C168" t="s">
        <v>21</v>
      </c>
      <c r="D168" t="s">
        <v>159</v>
      </c>
      <c r="E168">
        <v>149400000</v>
      </c>
      <c r="F168" s="5">
        <v>151400000</v>
      </c>
      <c r="G168" s="5">
        <v>2000000</v>
      </c>
      <c r="H168" s="5">
        <v>14940000</v>
      </c>
      <c r="I168" s="5">
        <v>15140000</v>
      </c>
      <c r="J168" s="5">
        <v>149500000</v>
      </c>
      <c r="K168" s="5">
        <v>151500000</v>
      </c>
      <c r="L168" s="5">
        <v>0.97916666666666663</v>
      </c>
      <c r="M168" s="7">
        <v>4346.1000000000004</v>
      </c>
      <c r="N168" s="5">
        <v>149500000</v>
      </c>
      <c r="O168" s="5">
        <v>151500000</v>
      </c>
      <c r="P168" s="3">
        <v>0.97916666666666663</v>
      </c>
    </row>
    <row r="169" spans="1:16" x14ac:dyDescent="0.25">
      <c r="A169" t="s">
        <v>118</v>
      </c>
      <c r="B169" s="2">
        <v>46190</v>
      </c>
      <c r="C169" t="s">
        <v>22</v>
      </c>
      <c r="D169" t="s">
        <v>159</v>
      </c>
      <c r="E169">
        <v>148700000</v>
      </c>
      <c r="F169" s="5">
        <v>151200000</v>
      </c>
      <c r="G169" s="5">
        <v>2500000</v>
      </c>
      <c r="H169" s="5">
        <v>14870000</v>
      </c>
      <c r="I169" s="5">
        <v>15120000</v>
      </c>
      <c r="J169" s="5">
        <v>148800000</v>
      </c>
      <c r="K169" s="5">
        <v>151300000</v>
      </c>
      <c r="L169" s="5">
        <v>0.97916666666666663</v>
      </c>
      <c r="M169" s="7">
        <v>4366.5</v>
      </c>
      <c r="N169" s="5">
        <v>148800000</v>
      </c>
      <c r="O169" s="5">
        <v>151300000</v>
      </c>
      <c r="P169" s="3">
        <v>0.97916666666666663</v>
      </c>
    </row>
    <row r="170" spans="1:16" x14ac:dyDescent="0.25">
      <c r="A170" t="s">
        <v>119</v>
      </c>
      <c r="B170" s="2">
        <v>46191</v>
      </c>
      <c r="C170" t="s">
        <v>16</v>
      </c>
      <c r="D170" t="s">
        <v>159</v>
      </c>
      <c r="E170">
        <v>148700000</v>
      </c>
      <c r="F170" s="5">
        <v>151200000</v>
      </c>
      <c r="G170" s="5">
        <v>2500000</v>
      </c>
      <c r="H170" s="5">
        <v>14870000</v>
      </c>
      <c r="I170" s="5">
        <v>15120000</v>
      </c>
      <c r="J170" s="5">
        <v>148800000</v>
      </c>
      <c r="K170" s="5">
        <v>151300000</v>
      </c>
      <c r="L170" s="5">
        <v>0.97916666666666663</v>
      </c>
      <c r="M170" s="7">
        <v>4226.1000000000004</v>
      </c>
      <c r="N170" s="5">
        <v>148800000</v>
      </c>
      <c r="O170" s="5">
        <v>151300000</v>
      </c>
      <c r="P170" s="3">
        <v>0.97916666666666663</v>
      </c>
    </row>
    <row r="171" spans="1:16" x14ac:dyDescent="0.25">
      <c r="A171" t="s">
        <v>120</v>
      </c>
      <c r="B171" s="2">
        <v>46192</v>
      </c>
      <c r="C171" t="s">
        <v>17</v>
      </c>
      <c r="D171" t="s">
        <v>159</v>
      </c>
      <c r="E171">
        <v>143600000</v>
      </c>
      <c r="F171" s="5">
        <v>146600000</v>
      </c>
      <c r="G171" s="5">
        <v>3000000</v>
      </c>
      <c r="H171" s="5">
        <v>14360000</v>
      </c>
      <c r="I171" s="5">
        <v>14660000</v>
      </c>
      <c r="J171" s="5">
        <v>143700000</v>
      </c>
      <c r="K171" s="5">
        <v>146700000</v>
      </c>
      <c r="L171" s="5">
        <v>0.97916666666666663</v>
      </c>
      <c r="M171" s="7">
        <v>4149.8</v>
      </c>
      <c r="N171" s="5">
        <v>143700000</v>
      </c>
      <c r="O171" s="5">
        <v>146700000</v>
      </c>
      <c r="P171" s="3">
        <v>0.97916666666666663</v>
      </c>
    </row>
    <row r="172" spans="1:16" x14ac:dyDescent="0.25">
      <c r="A172" t="s">
        <v>121</v>
      </c>
      <c r="B172" s="2">
        <v>46193</v>
      </c>
      <c r="C172" t="s">
        <v>18</v>
      </c>
      <c r="D172" t="s">
        <v>159</v>
      </c>
      <c r="E172">
        <v>144100000</v>
      </c>
      <c r="F172" s="5">
        <v>147100000</v>
      </c>
      <c r="G172" s="5">
        <v>3000000</v>
      </c>
      <c r="H172" s="5">
        <v>14410000</v>
      </c>
      <c r="I172" s="5">
        <v>14710000</v>
      </c>
      <c r="J172" s="5">
        <v>144200000</v>
      </c>
      <c r="K172" s="5">
        <v>147200000</v>
      </c>
      <c r="L172" s="5">
        <v>0.39583333333333331</v>
      </c>
      <c r="M172" s="7">
        <v>4156.7</v>
      </c>
      <c r="N172" s="5">
        <v>144200000</v>
      </c>
      <c r="O172" s="5">
        <v>147200000</v>
      </c>
      <c r="P172" s="3">
        <v>0.39583333333333331</v>
      </c>
    </row>
    <row r="173" spans="1:16" x14ac:dyDescent="0.25">
      <c r="A173" t="s">
        <v>122</v>
      </c>
      <c r="B173" s="2">
        <v>46194</v>
      </c>
      <c r="C173" t="s">
        <v>19</v>
      </c>
      <c r="D173" t="s">
        <v>159</v>
      </c>
      <c r="E173">
        <v>144100000</v>
      </c>
      <c r="F173" s="5">
        <v>147100000</v>
      </c>
      <c r="G173" s="5">
        <v>3000000</v>
      </c>
      <c r="H173" s="5">
        <v>14410000</v>
      </c>
      <c r="I173" s="5">
        <v>14710000</v>
      </c>
      <c r="J173" s="5">
        <v>144200000</v>
      </c>
      <c r="K173" s="5">
        <v>147200000</v>
      </c>
      <c r="L173" s="5">
        <v>0</v>
      </c>
      <c r="M173" s="7">
        <v>4156.7</v>
      </c>
      <c r="N173" s="5">
        <v>144200000</v>
      </c>
      <c r="O173" s="5">
        <v>147200000</v>
      </c>
      <c r="P173" s="3">
        <v>0</v>
      </c>
    </row>
    <row r="174" spans="1:16" x14ac:dyDescent="0.25">
      <c r="A174" t="s">
        <v>123</v>
      </c>
      <c r="B174" s="2">
        <v>46195</v>
      </c>
      <c r="C174" t="s">
        <v>20</v>
      </c>
      <c r="D174" t="s">
        <v>159</v>
      </c>
      <c r="E174">
        <v>145500000</v>
      </c>
      <c r="F174" s="5">
        <v>148500000</v>
      </c>
      <c r="G174" s="5">
        <v>3000000</v>
      </c>
      <c r="H174" s="5">
        <v>14550000</v>
      </c>
      <c r="I174" s="5">
        <v>14850000</v>
      </c>
      <c r="J174" s="5">
        <v>145600000</v>
      </c>
      <c r="K174" s="5">
        <v>148600000</v>
      </c>
      <c r="L174" s="5">
        <v>0.97916666666666663</v>
      </c>
      <c r="M174" s="7">
        <v>4183</v>
      </c>
      <c r="N174" s="5">
        <v>145600000</v>
      </c>
      <c r="O174" s="5">
        <v>148600000</v>
      </c>
      <c r="P174" s="3">
        <v>0.97916666666666663</v>
      </c>
    </row>
    <row r="175" spans="1:16" x14ac:dyDescent="0.25">
      <c r="A175" t="s">
        <v>124</v>
      </c>
      <c r="B175" s="2">
        <v>46196</v>
      </c>
      <c r="C175" t="s">
        <v>21</v>
      </c>
      <c r="D175" t="s">
        <v>159</v>
      </c>
      <c r="E175">
        <v>143900000</v>
      </c>
      <c r="F175" s="5">
        <v>146900000</v>
      </c>
      <c r="G175" s="5">
        <v>3000000</v>
      </c>
      <c r="H175" s="5">
        <v>14390000</v>
      </c>
      <c r="I175" s="5">
        <v>14690000</v>
      </c>
      <c r="J175" s="5">
        <v>144000000</v>
      </c>
      <c r="K175" s="5">
        <v>147000000</v>
      </c>
      <c r="L175" s="5">
        <v>0.97916666666666663</v>
      </c>
      <c r="M175" s="7">
        <v>4137.5</v>
      </c>
      <c r="N175" s="5">
        <v>144000000</v>
      </c>
      <c r="O175" s="5">
        <v>147000000</v>
      </c>
      <c r="P175" s="3">
        <v>0.97916666666666663</v>
      </c>
    </row>
    <row r="176" spans="1:16" x14ac:dyDescent="0.25">
      <c r="A176" t="s">
        <v>125</v>
      </c>
      <c r="B176" s="2">
        <v>46197</v>
      </c>
      <c r="C176" t="s">
        <v>22</v>
      </c>
      <c r="D176" t="s">
        <v>159</v>
      </c>
      <c r="E176">
        <v>143900000</v>
      </c>
      <c r="F176" s="5">
        <v>146900000</v>
      </c>
      <c r="G176" s="5">
        <v>3000000</v>
      </c>
      <c r="H176" s="5">
        <v>14390000</v>
      </c>
      <c r="I176" s="5">
        <v>14690000</v>
      </c>
      <c r="J176" s="5">
        <v>144000000</v>
      </c>
      <c r="K176" s="5">
        <v>147000000</v>
      </c>
      <c r="L176" s="5">
        <v>0.97916666666666663</v>
      </c>
      <c r="M176" s="7">
        <v>4014.6</v>
      </c>
      <c r="N176" s="5">
        <v>144000000</v>
      </c>
      <c r="O176" s="5">
        <v>147000000</v>
      </c>
      <c r="P176" s="3">
        <v>0.97916666666666663</v>
      </c>
    </row>
    <row r="177" spans="1:16" x14ac:dyDescent="0.25">
      <c r="A177" t="s">
        <v>126</v>
      </c>
      <c r="B177" s="2">
        <v>46198</v>
      </c>
      <c r="C177" t="s">
        <v>16</v>
      </c>
      <c r="D177" t="s">
        <v>159</v>
      </c>
      <c r="E177">
        <v>143100000</v>
      </c>
      <c r="F177" s="5">
        <v>146100000</v>
      </c>
      <c r="G177" s="5">
        <v>3000000</v>
      </c>
      <c r="H177" s="5">
        <v>14310000</v>
      </c>
      <c r="I177" s="5">
        <v>14610000</v>
      </c>
      <c r="J177" s="5">
        <v>143200000</v>
      </c>
      <c r="K177" s="5">
        <v>146200000</v>
      </c>
      <c r="L177" s="5">
        <v>0.97916666666666663</v>
      </c>
      <c r="M177" s="7">
        <v>4043.1</v>
      </c>
      <c r="N177" s="5">
        <v>143200000</v>
      </c>
      <c r="O177" s="5">
        <v>146200000</v>
      </c>
      <c r="P177" s="3">
        <v>0.97916666666666663</v>
      </c>
    </row>
    <row r="178" spans="1:16" x14ac:dyDescent="0.25">
      <c r="A178" t="s">
        <v>127</v>
      </c>
      <c r="B178" s="2">
        <v>46199</v>
      </c>
      <c r="C178" t="s">
        <v>17</v>
      </c>
      <c r="D178" t="s">
        <v>159</v>
      </c>
      <c r="E178">
        <v>143900000</v>
      </c>
      <c r="F178" s="5">
        <v>146900000</v>
      </c>
      <c r="G178" s="5">
        <v>3000000</v>
      </c>
      <c r="H178" s="5">
        <v>14390000</v>
      </c>
      <c r="I178" s="5">
        <v>14690000</v>
      </c>
      <c r="J178" s="5">
        <v>144000000</v>
      </c>
      <c r="K178" s="5">
        <v>147000000</v>
      </c>
      <c r="L178" s="5">
        <v>0.97916666666666663</v>
      </c>
      <c r="M178" s="7">
        <v>4089</v>
      </c>
      <c r="N178" s="5">
        <v>144000000</v>
      </c>
      <c r="O178" s="5">
        <v>147000000</v>
      </c>
      <c r="P178" s="3">
        <v>0.97916666666666663</v>
      </c>
    </row>
    <row r="179" spans="1:16" x14ac:dyDescent="0.25">
      <c r="A179" t="s">
        <v>128</v>
      </c>
      <c r="B179" s="2">
        <v>46200</v>
      </c>
      <c r="C179" t="s">
        <v>18</v>
      </c>
      <c r="D179" t="s">
        <v>159</v>
      </c>
      <c r="E179">
        <v>145400000</v>
      </c>
      <c r="F179" s="5">
        <v>148400000</v>
      </c>
      <c r="G179" s="5">
        <v>3000000</v>
      </c>
      <c r="H179" s="5">
        <v>14540000</v>
      </c>
      <c r="I179" s="5">
        <v>14840000</v>
      </c>
      <c r="J179" s="5">
        <v>145500000</v>
      </c>
      <c r="K179" s="5">
        <v>148500000</v>
      </c>
      <c r="L179" s="5">
        <v>0.41666666666666669</v>
      </c>
      <c r="M179" s="7">
        <v>4090.6</v>
      </c>
      <c r="N179" s="5">
        <v>145500000</v>
      </c>
      <c r="O179" s="5">
        <v>148500000</v>
      </c>
      <c r="P179" s="3">
        <v>0.41666666666666669</v>
      </c>
    </row>
    <row r="180" spans="1:16" x14ac:dyDescent="0.25">
      <c r="A180" t="s">
        <v>129</v>
      </c>
      <c r="B180" s="2">
        <v>46201</v>
      </c>
      <c r="C180" t="s">
        <v>19</v>
      </c>
      <c r="D180" t="s">
        <v>159</v>
      </c>
      <c r="E180">
        <v>145400000</v>
      </c>
      <c r="F180" s="5">
        <v>148400000</v>
      </c>
      <c r="G180" s="5">
        <v>3000000</v>
      </c>
      <c r="H180" s="5">
        <v>14540000</v>
      </c>
      <c r="I180" s="5">
        <v>14840000</v>
      </c>
      <c r="J180" s="5">
        <v>145500000</v>
      </c>
      <c r="K180" s="5">
        <v>148500000</v>
      </c>
      <c r="L180" s="5">
        <v>0.3125</v>
      </c>
      <c r="M180" s="7">
        <v>4090.6</v>
      </c>
      <c r="N180" s="5">
        <v>145500000</v>
      </c>
      <c r="O180" s="5">
        <v>148500000</v>
      </c>
      <c r="P180" s="3">
        <v>0.3125</v>
      </c>
    </row>
    <row r="181" spans="1:16" x14ac:dyDescent="0.25">
      <c r="A181" t="s">
        <v>130</v>
      </c>
      <c r="B181" s="2">
        <v>46202</v>
      </c>
      <c r="C181" t="s">
        <v>20</v>
      </c>
      <c r="D181" t="s">
        <v>159</v>
      </c>
      <c r="E181">
        <v>144900000</v>
      </c>
      <c r="F181" s="5">
        <v>147900000</v>
      </c>
      <c r="G181" s="5">
        <v>3000000</v>
      </c>
      <c r="H181" s="5">
        <v>14490000</v>
      </c>
      <c r="I181" s="5">
        <v>14790000</v>
      </c>
      <c r="J181" s="5">
        <v>145000000</v>
      </c>
      <c r="K181" s="5">
        <v>148000000</v>
      </c>
      <c r="L181" s="5">
        <v>0.97916666666666663</v>
      </c>
      <c r="M181" s="7">
        <v>4024.8</v>
      </c>
      <c r="N181" s="5">
        <v>145000000</v>
      </c>
      <c r="O181" s="5">
        <v>148000000</v>
      </c>
      <c r="P181" s="3">
        <v>0.97916666666666663</v>
      </c>
    </row>
    <row r="182" spans="1:16" x14ac:dyDescent="0.25">
      <c r="A182" t="s">
        <v>131</v>
      </c>
      <c r="B182" s="2">
        <v>46203</v>
      </c>
      <c r="C182" t="s">
        <v>21</v>
      </c>
      <c r="D182" t="s">
        <v>159</v>
      </c>
      <c r="E182">
        <v>143900000</v>
      </c>
      <c r="F182" s="5">
        <v>146900000</v>
      </c>
      <c r="G182" s="5">
        <v>3000000</v>
      </c>
      <c r="H182" s="5">
        <v>14390000</v>
      </c>
      <c r="I182" s="5">
        <v>14690000</v>
      </c>
      <c r="J182" s="5">
        <v>144000000</v>
      </c>
      <c r="K182" s="5">
        <v>147000000</v>
      </c>
      <c r="L182" s="5">
        <v>0.97916666666666663</v>
      </c>
      <c r="M182" s="7">
        <v>4029.8</v>
      </c>
      <c r="N182" s="5">
        <v>144000000</v>
      </c>
      <c r="O182" s="5">
        <v>147000000</v>
      </c>
      <c r="P182" s="3">
        <v>0.97916666666666663</v>
      </c>
    </row>
    <row r="183" spans="1:16" x14ac:dyDescent="0.25">
      <c r="A183" s="2">
        <v>46029</v>
      </c>
      <c r="B183" s="2">
        <v>46204</v>
      </c>
      <c r="C183" t="s">
        <v>22</v>
      </c>
      <c r="D183" t="s">
        <v>159</v>
      </c>
      <c r="E183">
        <v>143300000</v>
      </c>
      <c r="F183" s="5">
        <v>146300000</v>
      </c>
      <c r="G183" s="5">
        <v>3000000</v>
      </c>
      <c r="H183" s="5">
        <v>14330000</v>
      </c>
      <c r="I183" s="5">
        <v>14630000</v>
      </c>
      <c r="J183" s="5">
        <v>143400000</v>
      </c>
      <c r="K183" s="5">
        <v>146400000</v>
      </c>
      <c r="L183" s="5">
        <v>0.97916666666666663</v>
      </c>
      <c r="M183" s="7">
        <v>4084.9</v>
      </c>
      <c r="N183" s="5">
        <v>143400000</v>
      </c>
      <c r="O183" s="5">
        <v>146400000</v>
      </c>
      <c r="P183" s="3">
        <v>0.97916666666666663</v>
      </c>
    </row>
    <row r="184" spans="1:16" x14ac:dyDescent="0.25">
      <c r="A184" s="2">
        <v>46060</v>
      </c>
      <c r="B184" s="2">
        <v>46205</v>
      </c>
      <c r="C184" t="s">
        <v>16</v>
      </c>
      <c r="D184" t="s">
        <v>159</v>
      </c>
      <c r="E184">
        <v>145300000</v>
      </c>
      <c r="F184" s="5">
        <v>148300000</v>
      </c>
      <c r="G184" s="5">
        <v>3000000</v>
      </c>
      <c r="H184" s="5">
        <v>14530000</v>
      </c>
      <c r="I184" s="5">
        <v>14830000</v>
      </c>
      <c r="J184" s="5">
        <v>145400000</v>
      </c>
      <c r="K184" s="5">
        <v>148400000</v>
      </c>
      <c r="L184" s="5">
        <v>0.97916666666666663</v>
      </c>
      <c r="M184" s="7">
        <v>4119.3999999999996</v>
      </c>
      <c r="N184" s="5">
        <v>145400000</v>
      </c>
      <c r="O184" s="5">
        <v>148400000</v>
      </c>
      <c r="P184" s="3">
        <v>0.97916666666666663</v>
      </c>
    </row>
    <row r="185" spans="1:16" x14ac:dyDescent="0.25">
      <c r="A185" s="2">
        <v>46088</v>
      </c>
      <c r="B185" s="2">
        <v>46206</v>
      </c>
      <c r="C185" t="s">
        <v>17</v>
      </c>
      <c r="D185" t="s">
        <v>159</v>
      </c>
      <c r="E185">
        <v>148300000</v>
      </c>
      <c r="F185" s="5">
        <v>151300000</v>
      </c>
      <c r="G185" s="5">
        <v>3000000</v>
      </c>
      <c r="H185" s="5">
        <v>14830000</v>
      </c>
      <c r="I185" s="5">
        <v>15130000</v>
      </c>
      <c r="J185" s="5">
        <v>148400000</v>
      </c>
      <c r="K185" s="5">
        <v>151400000</v>
      </c>
      <c r="L185" s="5">
        <v>0.97916666666666663</v>
      </c>
      <c r="M185" s="7">
        <v>4167.1000000000004</v>
      </c>
      <c r="N185" s="5">
        <v>148400000</v>
      </c>
      <c r="O185" s="5">
        <v>151400000</v>
      </c>
      <c r="P185" s="3">
        <v>0.97916666666666663</v>
      </c>
    </row>
    <row r="186" spans="1:16" x14ac:dyDescent="0.25">
      <c r="A186" s="2">
        <v>46119</v>
      </c>
      <c r="B186" s="2">
        <v>46207</v>
      </c>
      <c r="C186" t="s">
        <v>18</v>
      </c>
      <c r="D186" t="s">
        <v>159</v>
      </c>
      <c r="E186">
        <v>148300000</v>
      </c>
      <c r="F186" s="5">
        <v>151300000</v>
      </c>
      <c r="G186" s="5">
        <v>3000000</v>
      </c>
      <c r="H186" s="5">
        <v>14830000</v>
      </c>
      <c r="I186" s="5">
        <v>15130000</v>
      </c>
      <c r="J186" s="5">
        <v>148400000</v>
      </c>
      <c r="K186" s="5">
        <v>151400000</v>
      </c>
      <c r="L186" s="5">
        <v>2.0833333333333332E-2</v>
      </c>
      <c r="M186" s="7">
        <v>4176.1000000000004</v>
      </c>
      <c r="N186" s="5">
        <v>148400000</v>
      </c>
      <c r="O186" s="5">
        <v>151400000</v>
      </c>
      <c r="P186" s="3">
        <v>2.0833333333333332E-2</v>
      </c>
    </row>
    <row r="187" spans="1:16" x14ac:dyDescent="0.25">
      <c r="A187" s="2">
        <v>46149</v>
      </c>
      <c r="B187" s="2">
        <v>46208</v>
      </c>
      <c r="C187" t="s">
        <v>19</v>
      </c>
      <c r="D187" t="s">
        <v>159</v>
      </c>
      <c r="E187">
        <v>148300000</v>
      </c>
      <c r="F187" s="5">
        <v>151300000</v>
      </c>
      <c r="G187" s="5">
        <v>3000000</v>
      </c>
      <c r="H187" s="5">
        <v>14830000</v>
      </c>
      <c r="I187" s="5">
        <v>15130000</v>
      </c>
      <c r="J187" s="5">
        <v>148400000</v>
      </c>
      <c r="K187" s="5">
        <v>151400000</v>
      </c>
      <c r="L187" s="5">
        <v>0</v>
      </c>
      <c r="M187" s="7">
        <v>4176.1000000000004</v>
      </c>
      <c r="N187" s="5">
        <v>148400000</v>
      </c>
      <c r="O187" s="5">
        <v>151400000</v>
      </c>
      <c r="P187" s="3">
        <v>0</v>
      </c>
    </row>
    <row r="188" spans="1:16" x14ac:dyDescent="0.25">
      <c r="A188" s="2">
        <v>46180</v>
      </c>
      <c r="B188" s="2">
        <v>46209</v>
      </c>
      <c r="C188" t="s">
        <v>20</v>
      </c>
      <c r="D188" t="s">
        <v>159</v>
      </c>
      <c r="E188">
        <v>147900000</v>
      </c>
      <c r="F188" s="5">
        <v>150900000</v>
      </c>
      <c r="G188" s="5">
        <v>3000000</v>
      </c>
      <c r="H188" s="5">
        <v>14790000</v>
      </c>
      <c r="I188" s="5">
        <v>15090000</v>
      </c>
      <c r="J188" s="5">
        <v>148000000</v>
      </c>
      <c r="K188" s="5">
        <v>151000000</v>
      </c>
      <c r="L188" s="5">
        <v>0.97916666666666663</v>
      </c>
      <c r="M188" s="7">
        <v>4145.8999999999996</v>
      </c>
      <c r="N188" s="5">
        <v>148000000</v>
      </c>
      <c r="O188" s="5">
        <v>151000000</v>
      </c>
      <c r="P188" s="3">
        <v>0.97916666666666663</v>
      </c>
    </row>
    <row r="189" spans="1:16" x14ac:dyDescent="0.25">
      <c r="A189" s="2">
        <v>46210</v>
      </c>
      <c r="B189" s="2">
        <v>46210</v>
      </c>
      <c r="C189" t="s">
        <v>21</v>
      </c>
      <c r="D189" t="s">
        <v>159</v>
      </c>
      <c r="E189">
        <v>146700000</v>
      </c>
      <c r="F189" s="5">
        <v>149700000</v>
      </c>
      <c r="G189" s="5">
        <v>3000000</v>
      </c>
      <c r="H189" s="5">
        <v>14670000</v>
      </c>
      <c r="I189" s="5">
        <v>14970000</v>
      </c>
      <c r="J189" s="5">
        <v>147000000</v>
      </c>
      <c r="K189" s="5">
        <v>150000000</v>
      </c>
      <c r="L189" s="5">
        <v>0.97916666666666663</v>
      </c>
      <c r="M189" s="7">
        <v>4147.7</v>
      </c>
      <c r="N189" s="5">
        <v>147000000</v>
      </c>
      <c r="O189" s="5">
        <v>150000000</v>
      </c>
      <c r="P189" s="3">
        <v>0.97916666666666663</v>
      </c>
    </row>
    <row r="190" spans="1:16" x14ac:dyDescent="0.25">
      <c r="A190" s="2">
        <v>46241</v>
      </c>
      <c r="B190" s="2">
        <v>46211</v>
      </c>
      <c r="C190" t="s">
        <v>22</v>
      </c>
      <c r="D190" t="s">
        <v>159</v>
      </c>
      <c r="E190">
        <v>145200000</v>
      </c>
      <c r="F190" s="5">
        <v>148200000</v>
      </c>
      <c r="G190" s="5">
        <v>3000000</v>
      </c>
      <c r="H190" s="5">
        <v>14520000</v>
      </c>
      <c r="I190" s="5">
        <v>14820000</v>
      </c>
      <c r="J190" s="5">
        <v>145500000</v>
      </c>
      <c r="K190" s="5">
        <v>148500000</v>
      </c>
      <c r="L190" s="5">
        <v>0.97916666666666663</v>
      </c>
      <c r="M190" s="7">
        <v>4044.9</v>
      </c>
      <c r="N190" s="5">
        <v>145500000</v>
      </c>
      <c r="O190" s="5">
        <v>148500000</v>
      </c>
      <c r="P190" s="3">
        <v>0.97916666666666663</v>
      </c>
    </row>
    <row r="191" spans="1:16" x14ac:dyDescent="0.25">
      <c r="A191" s="2">
        <v>46272</v>
      </c>
      <c r="B191" s="2">
        <v>46212</v>
      </c>
      <c r="C191" t="s">
        <v>16</v>
      </c>
      <c r="D191" t="s">
        <v>159</v>
      </c>
      <c r="E191">
        <v>145700000</v>
      </c>
      <c r="F191" s="5">
        <v>148700000</v>
      </c>
      <c r="G191" s="5">
        <v>3000000</v>
      </c>
      <c r="H191" s="5">
        <v>14570000</v>
      </c>
      <c r="I191" s="5">
        <v>14870000</v>
      </c>
      <c r="J191" s="5">
        <v>146000000</v>
      </c>
      <c r="K191" s="5">
        <v>149000000</v>
      </c>
      <c r="L191" s="5">
        <v>0.97916666666666663</v>
      </c>
      <c r="M191" s="7">
        <v>4131</v>
      </c>
      <c r="N191" s="5">
        <v>146000000</v>
      </c>
      <c r="O191" s="5">
        <v>149000000</v>
      </c>
      <c r="P191" s="3">
        <v>0.97916666666666663</v>
      </c>
    </row>
    <row r="192" spans="1:16" x14ac:dyDescent="0.25">
      <c r="A192" s="2">
        <v>46302</v>
      </c>
      <c r="B192" s="2">
        <v>46213</v>
      </c>
      <c r="C192" t="s">
        <v>17</v>
      </c>
      <c r="D192" t="s">
        <v>159</v>
      </c>
      <c r="E192">
        <v>146400000</v>
      </c>
      <c r="F192" s="5">
        <v>149400000</v>
      </c>
      <c r="G192" s="5">
        <v>3000000</v>
      </c>
      <c r="H192" s="5">
        <v>14640000</v>
      </c>
      <c r="I192" s="5">
        <v>14940000</v>
      </c>
      <c r="J192" s="5">
        <v>146900000</v>
      </c>
      <c r="K192" s="5">
        <v>149900000</v>
      </c>
      <c r="L192" s="5">
        <v>0.9375</v>
      </c>
      <c r="M192" s="7">
        <v>4102.2</v>
      </c>
      <c r="N192" s="5">
        <v>146900000</v>
      </c>
      <c r="O192" s="5">
        <v>149900000</v>
      </c>
      <c r="P192" s="3">
        <v>0.9375</v>
      </c>
    </row>
    <row r="193" spans="1:16" x14ac:dyDescent="0.25">
      <c r="A193" s="2">
        <v>46333</v>
      </c>
      <c r="B193" s="2">
        <v>46214</v>
      </c>
      <c r="C193" t="s">
        <v>18</v>
      </c>
      <c r="D193" t="s">
        <v>159</v>
      </c>
      <c r="E193">
        <v>146400000</v>
      </c>
      <c r="F193" s="5">
        <v>149400000</v>
      </c>
      <c r="G193" s="5">
        <v>3000000</v>
      </c>
      <c r="H193" s="5">
        <v>14640000</v>
      </c>
      <c r="I193" s="5">
        <v>14940000</v>
      </c>
      <c r="J193" s="5">
        <v>146900000</v>
      </c>
      <c r="K193" s="5">
        <v>149900000</v>
      </c>
      <c r="L193" s="5">
        <v>0.375</v>
      </c>
      <c r="M193" s="7">
        <v>4121.3999999999996</v>
      </c>
      <c r="N193" s="5">
        <v>146900000</v>
      </c>
      <c r="O193" s="5">
        <v>149900000</v>
      </c>
      <c r="P193" s="3">
        <v>0.375</v>
      </c>
    </row>
    <row r="194" spans="1:16" x14ac:dyDescent="0.25">
      <c r="A194" s="2">
        <v>46363</v>
      </c>
      <c r="B194" s="2">
        <v>46215</v>
      </c>
      <c r="C194" t="s">
        <v>19</v>
      </c>
      <c r="D194" t="s">
        <v>159</v>
      </c>
      <c r="E194">
        <v>146400000</v>
      </c>
      <c r="F194" s="5">
        <v>149400000</v>
      </c>
      <c r="G194" s="5">
        <v>3000000</v>
      </c>
      <c r="H194" s="5">
        <v>14640000</v>
      </c>
      <c r="I194" s="5">
        <v>14940000</v>
      </c>
      <c r="J194" s="5">
        <v>146900000</v>
      </c>
      <c r="K194" s="5">
        <v>149900000</v>
      </c>
      <c r="L194" s="5">
        <v>0</v>
      </c>
      <c r="M194" s="7">
        <v>4121.3999999999996</v>
      </c>
      <c r="N194" s="5">
        <v>146900000</v>
      </c>
      <c r="O194" s="5">
        <v>149900000</v>
      </c>
      <c r="P194" s="3">
        <v>0</v>
      </c>
    </row>
    <row r="195" spans="1:16" x14ac:dyDescent="0.25">
      <c r="A195" t="s">
        <v>132</v>
      </c>
      <c r="B195" s="2">
        <v>46216</v>
      </c>
      <c r="C195" t="s">
        <v>20</v>
      </c>
      <c r="D195" t="s">
        <v>159</v>
      </c>
      <c r="E195">
        <v>144400000</v>
      </c>
      <c r="F195" s="5">
        <v>147900000</v>
      </c>
      <c r="G195" s="5">
        <v>3500000</v>
      </c>
      <c r="H195" s="5">
        <v>14440000</v>
      </c>
      <c r="I195" s="5">
        <v>14790000</v>
      </c>
      <c r="J195" s="5">
        <v>145400000</v>
      </c>
      <c r="K195" s="5">
        <v>148400000</v>
      </c>
      <c r="L195" s="5">
        <v>0.91666666666666663</v>
      </c>
      <c r="M195" s="7">
        <v>4013.4</v>
      </c>
      <c r="N195" s="5">
        <v>145400000</v>
      </c>
      <c r="O195" s="5">
        <v>148400000</v>
      </c>
      <c r="P195" s="3">
        <v>0.91666666666666663</v>
      </c>
    </row>
    <row r="196" spans="1:16" x14ac:dyDescent="0.25">
      <c r="A196" t="s">
        <v>133</v>
      </c>
      <c r="B196" s="2">
        <v>46217</v>
      </c>
      <c r="C196" t="s">
        <v>21</v>
      </c>
      <c r="D196" t="s">
        <v>159</v>
      </c>
      <c r="E196">
        <v>143500000</v>
      </c>
      <c r="F196" s="5">
        <v>147000000</v>
      </c>
      <c r="G196" s="5">
        <v>3500000</v>
      </c>
      <c r="H196" s="5">
        <v>14350000</v>
      </c>
      <c r="I196" s="5">
        <v>14700000</v>
      </c>
      <c r="J196" s="5">
        <v>144500000</v>
      </c>
      <c r="K196" s="5">
        <v>147500000</v>
      </c>
      <c r="L196" s="5">
        <v>0.97916666666666663</v>
      </c>
      <c r="M196" s="7">
        <v>4061.5</v>
      </c>
      <c r="N196" s="5">
        <v>144500000</v>
      </c>
      <c r="O196" s="5">
        <v>147500000</v>
      </c>
      <c r="P196" s="3">
        <v>0.97916666666666663</v>
      </c>
    </row>
    <row r="197" spans="1:16" x14ac:dyDescent="0.25">
      <c r="A197" t="s">
        <v>134</v>
      </c>
      <c r="B197" s="2">
        <v>46218</v>
      </c>
      <c r="C197" t="s">
        <v>22</v>
      </c>
      <c r="D197" t="s">
        <v>159</v>
      </c>
      <c r="E197">
        <v>144500000</v>
      </c>
      <c r="F197" s="5">
        <v>148000000</v>
      </c>
      <c r="G197" s="5">
        <v>3500000</v>
      </c>
      <c r="H197" s="5">
        <v>14450000</v>
      </c>
      <c r="I197" s="5">
        <v>14800000</v>
      </c>
      <c r="J197" s="5">
        <v>145500000</v>
      </c>
      <c r="K197" s="5">
        <v>148500000</v>
      </c>
      <c r="L197" s="5">
        <v>0.97916666666666663</v>
      </c>
      <c r="M197" s="7">
        <v>4035.3</v>
      </c>
      <c r="N197" s="5">
        <v>145500000</v>
      </c>
      <c r="O197" s="5">
        <v>148500000</v>
      </c>
      <c r="P197" s="3">
        <v>0.97916666666666663</v>
      </c>
    </row>
    <row r="198" spans="1:16" x14ac:dyDescent="0.25">
      <c r="A198" t="s">
        <v>135</v>
      </c>
      <c r="B198" s="2">
        <v>46219</v>
      </c>
      <c r="C198" t="s">
        <v>16</v>
      </c>
      <c r="D198" t="s">
        <v>159</v>
      </c>
      <c r="E198">
        <v>143700000</v>
      </c>
      <c r="F198" s="5">
        <v>147200000</v>
      </c>
      <c r="G198" s="5">
        <v>3500000</v>
      </c>
      <c r="H198" s="5">
        <v>14370000</v>
      </c>
      <c r="I198" s="5">
        <v>14720000</v>
      </c>
      <c r="J198" s="5">
        <v>145200000</v>
      </c>
      <c r="K198" s="5">
        <v>148200000</v>
      </c>
      <c r="L198" s="5">
        <v>0.97916666666666663</v>
      </c>
      <c r="M198" s="7">
        <v>3986.6</v>
      </c>
      <c r="N198" s="5">
        <v>145200000</v>
      </c>
      <c r="O198" s="5">
        <v>148200000</v>
      </c>
      <c r="P198" s="3">
        <v>0.97916666666666663</v>
      </c>
    </row>
    <row r="199" spans="1:16" x14ac:dyDescent="0.25">
      <c r="A199" t="s">
        <v>136</v>
      </c>
      <c r="B199" s="2">
        <v>46220</v>
      </c>
      <c r="C199" t="s">
        <v>17</v>
      </c>
      <c r="D199" t="s">
        <v>159</v>
      </c>
      <c r="E199">
        <v>142100000</v>
      </c>
      <c r="F199" s="5">
        <v>145600000</v>
      </c>
      <c r="G199" s="5">
        <v>3500000</v>
      </c>
      <c r="H199" s="5">
        <v>14210000</v>
      </c>
      <c r="I199" s="5">
        <v>14560000</v>
      </c>
      <c r="J199" s="5">
        <v>143600000</v>
      </c>
      <c r="K199" s="5">
        <v>146600000</v>
      </c>
      <c r="L199" s="5">
        <v>0.97916666666666663</v>
      </c>
      <c r="M199" s="7">
        <v>4021</v>
      </c>
      <c r="N199" s="5">
        <v>143600000</v>
      </c>
      <c r="O199" s="5">
        <v>146600000</v>
      </c>
      <c r="P199" s="3">
        <v>0.97916666666666663</v>
      </c>
    </row>
    <row r="200" spans="1:16" x14ac:dyDescent="0.25">
      <c r="A200" t="s">
        <v>137</v>
      </c>
      <c r="B200" s="2">
        <v>46221</v>
      </c>
      <c r="C200" t="s">
        <v>18</v>
      </c>
      <c r="D200" t="s">
        <v>159</v>
      </c>
      <c r="E200">
        <v>143000000</v>
      </c>
      <c r="F200" s="5">
        <v>146500000</v>
      </c>
      <c r="G200" s="5">
        <v>3500000</v>
      </c>
      <c r="H200" s="5">
        <v>14300000</v>
      </c>
      <c r="I200" s="5">
        <v>14650000</v>
      </c>
      <c r="J200" s="5">
        <v>144500000</v>
      </c>
      <c r="K200" s="5">
        <v>147500000</v>
      </c>
      <c r="L200" s="5">
        <v>0.39583333333333331</v>
      </c>
      <c r="M200" s="7">
        <v>4019.3</v>
      </c>
      <c r="N200" s="5">
        <v>144500000</v>
      </c>
      <c r="O200" s="5">
        <v>147500000</v>
      </c>
      <c r="P200" s="3">
        <v>0.39583333333333331</v>
      </c>
    </row>
    <row r="201" spans="1:16" x14ac:dyDescent="0.25">
      <c r="A201" t="s">
        <v>138</v>
      </c>
      <c r="B201" s="2">
        <v>46222</v>
      </c>
      <c r="C201" t="s">
        <v>19</v>
      </c>
      <c r="D201" t="s">
        <v>159</v>
      </c>
      <c r="E201">
        <v>143000000</v>
      </c>
      <c r="F201" s="5">
        <v>146500000</v>
      </c>
      <c r="G201" s="5">
        <v>3500000</v>
      </c>
      <c r="H201" s="5">
        <v>14300000</v>
      </c>
      <c r="I201" s="5">
        <v>14650000</v>
      </c>
      <c r="J201" s="5">
        <v>144500000</v>
      </c>
      <c r="K201" s="5">
        <v>147500000</v>
      </c>
      <c r="L201" s="5">
        <v>0.97916666666666663</v>
      </c>
      <c r="M201" s="7">
        <v>4019.3</v>
      </c>
      <c r="N201" s="5">
        <v>144500000</v>
      </c>
      <c r="O201" s="5">
        <v>147500000</v>
      </c>
      <c r="P201" s="3">
        <v>0.97916666666666663</v>
      </c>
    </row>
    <row r="202" spans="1:16" x14ac:dyDescent="0.25">
      <c r="A202" t="s">
        <v>139</v>
      </c>
      <c r="B202" s="2">
        <v>46223</v>
      </c>
      <c r="C202" t="s">
        <v>20</v>
      </c>
      <c r="D202" t="s">
        <v>159</v>
      </c>
      <c r="E202">
        <v>141500000</v>
      </c>
      <c r="F202" s="5">
        <v>145000000</v>
      </c>
      <c r="G202" s="5">
        <v>3500000</v>
      </c>
      <c r="H202" s="5">
        <v>14150000</v>
      </c>
      <c r="I202" s="5">
        <v>14500000</v>
      </c>
      <c r="J202" s="5">
        <v>143000000</v>
      </c>
      <c r="K202" s="5">
        <v>146000000</v>
      </c>
      <c r="L202" s="5">
        <v>0.97916666666666663</v>
      </c>
      <c r="M202" s="7">
        <v>4013.5</v>
      </c>
      <c r="N202" s="5">
        <v>143000000</v>
      </c>
      <c r="O202" s="5">
        <v>146000000</v>
      </c>
      <c r="P202" s="3">
        <v>0.97916666666666663</v>
      </c>
    </row>
    <row r="203" spans="1:16" x14ac:dyDescent="0.25">
      <c r="A203" t="s">
        <v>140</v>
      </c>
      <c r="B203" s="2">
        <v>46224</v>
      </c>
      <c r="C203" t="s">
        <v>21</v>
      </c>
      <c r="D203" t="s">
        <v>159</v>
      </c>
      <c r="E203">
        <v>141900000</v>
      </c>
      <c r="F203" s="5">
        <v>145400000</v>
      </c>
      <c r="G203" s="5">
        <v>3500000</v>
      </c>
      <c r="H203" s="5">
        <v>14190000</v>
      </c>
      <c r="I203" s="5">
        <v>14540000</v>
      </c>
      <c r="J203" s="5">
        <v>143400000</v>
      </c>
      <c r="K203" s="5">
        <v>146400000</v>
      </c>
      <c r="L203" s="5">
        <v>0.97916666666666663</v>
      </c>
      <c r="M203" s="7">
        <v>4076.7</v>
      </c>
      <c r="N203" s="5">
        <v>143400000</v>
      </c>
      <c r="O203" s="5">
        <v>146400000</v>
      </c>
      <c r="P203" s="3">
        <v>0.97916666666666663</v>
      </c>
    </row>
    <row r="204" spans="1:16" x14ac:dyDescent="0.25">
      <c r="A204" t="s">
        <v>141</v>
      </c>
      <c r="B204" s="2">
        <v>46225</v>
      </c>
      <c r="C204" t="s">
        <v>22</v>
      </c>
      <c r="D204" t="s">
        <v>159</v>
      </c>
      <c r="E204">
        <v>141000000</v>
      </c>
      <c r="F204" s="5">
        <v>145000000</v>
      </c>
      <c r="G204" s="5">
        <v>4000000</v>
      </c>
      <c r="H204" s="5">
        <v>14100000</v>
      </c>
      <c r="I204" s="5">
        <v>14500000</v>
      </c>
      <c r="J204" s="5">
        <v>142000000</v>
      </c>
      <c r="K204" s="5">
        <v>146000000</v>
      </c>
      <c r="L204" s="5">
        <v>0.97916666666666663</v>
      </c>
      <c r="M204" s="7">
        <v>4149.8</v>
      </c>
      <c r="N204" s="5">
        <v>142000000</v>
      </c>
      <c r="O204" s="5">
        <v>146000000</v>
      </c>
      <c r="P204" s="3">
        <v>0.97916666666666663</v>
      </c>
    </row>
    <row r="205" spans="1:16" x14ac:dyDescent="0.25">
      <c r="A205" t="s">
        <v>142</v>
      </c>
      <c r="B205" s="2">
        <v>46226</v>
      </c>
      <c r="C205" t="s">
        <v>16</v>
      </c>
      <c r="D205" t="s">
        <v>159</v>
      </c>
      <c r="E205">
        <v>134000000</v>
      </c>
      <c r="F205" s="5">
        <v>139000000</v>
      </c>
      <c r="G205" s="5">
        <v>5000000</v>
      </c>
      <c r="H205" s="5">
        <v>13400000</v>
      </c>
      <c r="I205" s="5">
        <v>13900000</v>
      </c>
      <c r="J205" s="5">
        <v>135000000</v>
      </c>
      <c r="K205" s="5">
        <v>140000000</v>
      </c>
      <c r="L205" s="5">
        <v>0.97916666666666663</v>
      </c>
      <c r="M205" s="7">
        <v>4051.3</v>
      </c>
      <c r="N205" s="5">
        <v>135000000</v>
      </c>
      <c r="O205" s="5">
        <v>140000000</v>
      </c>
      <c r="P205" s="3">
        <v>0.97916666666666663</v>
      </c>
    </row>
    <row r="206" spans="1:16" x14ac:dyDescent="0.25">
      <c r="A206" t="s">
        <v>143</v>
      </c>
      <c r="B206" s="2">
        <v>46227</v>
      </c>
      <c r="C206" t="s">
        <v>17</v>
      </c>
      <c r="D206" t="s">
        <v>159</v>
      </c>
      <c r="E206">
        <v>135000000</v>
      </c>
      <c r="F206" s="5">
        <v>140000000</v>
      </c>
      <c r="G206" s="5">
        <v>5000000</v>
      </c>
      <c r="H206" s="5">
        <v>13500000</v>
      </c>
      <c r="I206" s="5">
        <v>14000000</v>
      </c>
      <c r="J206" s="5">
        <v>135500000</v>
      </c>
      <c r="K206" s="5">
        <v>140500000</v>
      </c>
      <c r="L206" s="5">
        <v>0.97916666666666663</v>
      </c>
      <c r="M206" s="7">
        <v>4077.8</v>
      </c>
      <c r="N206" s="5">
        <v>135500000</v>
      </c>
      <c r="O206" s="5">
        <v>140500000</v>
      </c>
      <c r="P206" s="3">
        <v>0.97916666666666663</v>
      </c>
    </row>
    <row r="207" spans="1:16" x14ac:dyDescent="0.25">
      <c r="A207" t="s">
        <v>144</v>
      </c>
      <c r="B207" s="2">
        <v>46228</v>
      </c>
      <c r="C207" t="s">
        <v>18</v>
      </c>
      <c r="D207" t="s">
        <v>159</v>
      </c>
      <c r="E207">
        <v>137000000</v>
      </c>
      <c r="F207" s="5">
        <v>141000000</v>
      </c>
      <c r="G207" s="5">
        <v>4000000</v>
      </c>
      <c r="H207" s="5">
        <v>13700000</v>
      </c>
      <c r="I207" s="5">
        <v>14100000</v>
      </c>
      <c r="J207" s="5">
        <v>137500000</v>
      </c>
      <c r="K207" s="5">
        <v>141500000</v>
      </c>
      <c r="L207" s="5">
        <v>0.39583333333333331</v>
      </c>
      <c r="M207" s="7">
        <v>4053.7</v>
      </c>
      <c r="N207" s="5">
        <v>137500000</v>
      </c>
      <c r="O207" s="5">
        <v>141500000</v>
      </c>
      <c r="P207" s="3">
        <v>0.39583333333333331</v>
      </c>
    </row>
    <row r="208" spans="1:16" x14ac:dyDescent="0.25">
      <c r="A208" t="s">
        <v>145</v>
      </c>
      <c r="B208" s="2">
        <v>46229</v>
      </c>
      <c r="C208" t="s">
        <v>19</v>
      </c>
      <c r="D208" t="s">
        <v>159</v>
      </c>
      <c r="E208">
        <v>137000000</v>
      </c>
      <c r="F208" s="5">
        <v>141000000</v>
      </c>
      <c r="G208" s="5">
        <v>4000000</v>
      </c>
      <c r="H208" s="5">
        <v>13700000</v>
      </c>
      <c r="I208" s="5">
        <v>14100000</v>
      </c>
      <c r="J208" s="5">
        <v>137500000</v>
      </c>
      <c r="K208" s="5">
        <v>141500000</v>
      </c>
      <c r="L208" s="5">
        <v>0</v>
      </c>
      <c r="M208" s="7">
        <v>4053.7</v>
      </c>
      <c r="N208" s="5">
        <v>137500000</v>
      </c>
      <c r="O208" s="5">
        <v>141500000</v>
      </c>
      <c r="P208" s="3">
        <v>0</v>
      </c>
    </row>
    <row r="209" spans="1:16" x14ac:dyDescent="0.25">
      <c r="A209" t="s">
        <v>146</v>
      </c>
      <c r="B209" s="2">
        <v>46230</v>
      </c>
      <c r="C209" t="s">
        <v>20</v>
      </c>
      <c r="D209" t="s">
        <v>159</v>
      </c>
      <c r="E209">
        <v>138500000</v>
      </c>
      <c r="F209" s="5">
        <v>142500000</v>
      </c>
      <c r="G209" s="5">
        <v>4000000</v>
      </c>
      <c r="H209" s="5">
        <v>13850000</v>
      </c>
      <c r="I209" s="5">
        <v>14250000</v>
      </c>
      <c r="J209" s="5">
        <v>139000000</v>
      </c>
      <c r="K209" s="5">
        <v>143000000</v>
      </c>
      <c r="L209" s="5">
        <v>0.97916666666666663</v>
      </c>
      <c r="M209" s="7">
        <v>4087</v>
      </c>
      <c r="N209" s="5">
        <v>139000000</v>
      </c>
      <c r="O209" s="5">
        <v>143000000</v>
      </c>
      <c r="P209" s="3">
        <v>0.97916666666666663</v>
      </c>
    </row>
    <row r="210" spans="1:16" x14ac:dyDescent="0.25">
      <c r="A210" t="s">
        <v>147</v>
      </c>
      <c r="B210" s="2">
        <v>46231</v>
      </c>
      <c r="C210" t="s">
        <v>21</v>
      </c>
      <c r="D210" t="s">
        <v>159</v>
      </c>
      <c r="E210">
        <v>137000000</v>
      </c>
      <c r="F210" s="5">
        <v>141000000</v>
      </c>
      <c r="G210" s="5">
        <v>4000000</v>
      </c>
      <c r="H210" s="5">
        <v>13700000</v>
      </c>
      <c r="I210" s="5">
        <v>14100000</v>
      </c>
      <c r="J210" s="5">
        <v>137500000</v>
      </c>
      <c r="K210" s="5">
        <v>141500000</v>
      </c>
      <c r="L210" s="5">
        <v>0.97916666666666663</v>
      </c>
      <c r="M210" s="7">
        <v>4044</v>
      </c>
      <c r="N210" s="5">
        <v>137500000</v>
      </c>
      <c r="O210" s="5">
        <v>141500000</v>
      </c>
      <c r="P210" s="3">
        <v>0.97916666666666663</v>
      </c>
    </row>
    <row r="211" spans="1:16" x14ac:dyDescent="0.25">
      <c r="A211" t="s">
        <v>148</v>
      </c>
      <c r="B211" s="2">
        <v>46232</v>
      </c>
      <c r="C211" t="s">
        <v>22</v>
      </c>
      <c r="D211" t="s">
        <v>159</v>
      </c>
      <c r="E211">
        <v>137000000</v>
      </c>
      <c r="F211" s="5">
        <v>141000000</v>
      </c>
      <c r="G211" s="5">
        <v>4000000</v>
      </c>
      <c r="H211" s="5">
        <v>13700000</v>
      </c>
      <c r="I211" s="5">
        <v>14100000</v>
      </c>
      <c r="J211" s="5">
        <v>137500000</v>
      </c>
      <c r="K211" s="5">
        <v>141500000</v>
      </c>
      <c r="L211" s="5">
        <v>0.97916666666666663</v>
      </c>
      <c r="M211" s="7">
        <v>4017.3</v>
      </c>
      <c r="N211" s="5">
        <v>137500000</v>
      </c>
      <c r="O211" s="5">
        <v>141500000</v>
      </c>
      <c r="P211" s="3">
        <v>0.97916666666666663</v>
      </c>
    </row>
    <row r="212" spans="1:16" x14ac:dyDescent="0.25">
      <c r="A212" t="s">
        <v>149</v>
      </c>
      <c r="B212" s="2">
        <v>46233</v>
      </c>
      <c r="C212" t="s">
        <v>16</v>
      </c>
      <c r="D212" t="s">
        <v>159</v>
      </c>
      <c r="E212">
        <v>137200000</v>
      </c>
      <c r="F212" s="5">
        <v>141200000</v>
      </c>
      <c r="G212" s="5">
        <v>4000000</v>
      </c>
      <c r="H212" s="5">
        <v>13720000</v>
      </c>
      <c r="I212" s="5">
        <v>14120000</v>
      </c>
      <c r="J212" s="5">
        <v>137700000</v>
      </c>
      <c r="K212" s="5">
        <v>141700000</v>
      </c>
      <c r="L212" s="5">
        <v>0.97916666666666663</v>
      </c>
      <c r="M212" s="7">
        <v>4117.8</v>
      </c>
      <c r="N212" s="5">
        <v>137700000</v>
      </c>
      <c r="O212" s="5">
        <v>141700000</v>
      </c>
      <c r="P212" s="3">
        <v>0.97916666666666663</v>
      </c>
    </row>
    <row r="213" spans="1:16" x14ac:dyDescent="0.25">
      <c r="A213" t="s">
        <v>150</v>
      </c>
      <c r="B213" s="2">
        <v>46234</v>
      </c>
      <c r="C213" t="s">
        <v>17</v>
      </c>
      <c r="D213" t="s">
        <v>159</v>
      </c>
      <c r="E213">
        <v>137400000</v>
      </c>
      <c r="F213" s="5">
        <v>141400000</v>
      </c>
      <c r="G213" s="5">
        <v>4000000</v>
      </c>
      <c r="H213" s="5">
        <v>13740000</v>
      </c>
      <c r="I213" s="5">
        <v>14140000</v>
      </c>
      <c r="J213" s="5">
        <v>137900000</v>
      </c>
      <c r="K213" s="5">
        <v>141900000</v>
      </c>
      <c r="L213" s="5">
        <v>0.97916666666666663</v>
      </c>
      <c r="M213" s="7">
        <v>4048</v>
      </c>
      <c r="N213" s="5">
        <v>137900000</v>
      </c>
      <c r="O213" s="5">
        <v>141900000</v>
      </c>
      <c r="P213" s="3">
        <v>0.97916666666666663</v>
      </c>
    </row>
    <row r="214" spans="1:16" x14ac:dyDescent="0.25">
      <c r="A214" s="2">
        <v>46030</v>
      </c>
      <c r="B214" s="2">
        <v>46235</v>
      </c>
      <c r="C214" t="s">
        <v>18</v>
      </c>
      <c r="D214" t="s">
        <v>159</v>
      </c>
      <c r="E214">
        <v>136500000</v>
      </c>
      <c r="F214" s="5">
        <v>140500000</v>
      </c>
      <c r="G214" s="5">
        <v>4000000</v>
      </c>
      <c r="H214" s="5">
        <v>13650000</v>
      </c>
      <c r="I214" s="5">
        <v>14050000</v>
      </c>
      <c r="J214" s="5">
        <v>137000000</v>
      </c>
      <c r="K214" s="5">
        <v>141000000</v>
      </c>
      <c r="L214" s="5">
        <v>0.39583333333333331</v>
      </c>
      <c r="M214" s="7">
        <v>4043.7</v>
      </c>
      <c r="N214" s="5">
        <v>137000000</v>
      </c>
      <c r="O214" s="5">
        <v>141000000</v>
      </c>
      <c r="P214" s="3">
        <v>0.39583333333333331</v>
      </c>
    </row>
    <row r="215" spans="1:16" x14ac:dyDescent="0.25">
      <c r="A215" s="2">
        <v>46061</v>
      </c>
      <c r="B215" s="2">
        <v>46236</v>
      </c>
      <c r="C215" t="s">
        <v>19</v>
      </c>
      <c r="D215" t="s">
        <v>159</v>
      </c>
      <c r="E215">
        <v>136500000</v>
      </c>
      <c r="F215" s="5">
        <v>140500000</v>
      </c>
      <c r="G215" s="5">
        <v>4000000</v>
      </c>
      <c r="H215" s="5">
        <v>13650000</v>
      </c>
      <c r="I215" s="5">
        <v>14050000</v>
      </c>
      <c r="J215" s="5">
        <v>137000000</v>
      </c>
      <c r="K215" s="5">
        <v>141000000</v>
      </c>
      <c r="L215" s="5">
        <v>0</v>
      </c>
      <c r="M215" s="7">
        <v>4043.7</v>
      </c>
      <c r="N215" s="5">
        <v>137000000</v>
      </c>
      <c r="O215" s="5">
        <v>141000000</v>
      </c>
      <c r="P215" s="3">
        <v>0</v>
      </c>
    </row>
    <row r="216" spans="1:16" x14ac:dyDescent="0.25">
      <c r="A216" s="2">
        <v>46089</v>
      </c>
      <c r="B216" s="2">
        <v>46237</v>
      </c>
      <c r="C216" t="s">
        <v>20</v>
      </c>
      <c r="D216" t="s">
        <v>159</v>
      </c>
      <c r="E216">
        <v>136500000</v>
      </c>
      <c r="F216" s="5">
        <v>140500000</v>
      </c>
      <c r="G216" s="5">
        <v>4000000</v>
      </c>
      <c r="H216" s="5">
        <v>13650000</v>
      </c>
      <c r="I216" s="5">
        <v>14050000</v>
      </c>
      <c r="J216" s="5">
        <v>137500000</v>
      </c>
      <c r="K216" s="5">
        <v>141000000</v>
      </c>
      <c r="L216" s="5">
        <v>0.97916666666666663</v>
      </c>
      <c r="M216" s="7">
        <v>4038.2</v>
      </c>
      <c r="N216" s="5">
        <v>137500000</v>
      </c>
      <c r="O216" s="5">
        <v>141000000</v>
      </c>
      <c r="P216" s="3">
        <v>0.97916666666666663</v>
      </c>
    </row>
    <row r="217" spans="1:16" x14ac:dyDescent="0.25">
      <c r="A217" s="2">
        <v>46120</v>
      </c>
      <c r="B217" s="2">
        <v>46238</v>
      </c>
      <c r="C217" t="s">
        <v>21</v>
      </c>
      <c r="D217" t="s">
        <v>159</v>
      </c>
      <c r="E217">
        <v>136500000</v>
      </c>
      <c r="F217" s="5">
        <v>140000000</v>
      </c>
      <c r="G217" s="5">
        <v>3500000</v>
      </c>
      <c r="H217" s="5">
        <v>13650000</v>
      </c>
      <c r="I217" s="5">
        <v>14000000</v>
      </c>
      <c r="J217" s="5">
        <v>137500000</v>
      </c>
      <c r="K217" s="5">
        <v>140500000</v>
      </c>
      <c r="L217" s="5">
        <v>0.97916666666666663</v>
      </c>
      <c r="M217" s="7">
        <v>4090.6</v>
      </c>
      <c r="N217" s="5">
        <v>137500000</v>
      </c>
      <c r="O217" s="5">
        <v>140500000</v>
      </c>
      <c r="P217" s="3">
        <v>0.97916666666666663</v>
      </c>
    </row>
    <row r="218" spans="1:16" x14ac:dyDescent="0.25">
      <c r="A218" s="2">
        <v>46150</v>
      </c>
      <c r="B218" s="2">
        <v>46239</v>
      </c>
      <c r="C218" t="s">
        <v>22</v>
      </c>
      <c r="D218" t="s">
        <v>159</v>
      </c>
      <c r="E218">
        <v>138300000</v>
      </c>
      <c r="F218" s="5">
        <v>141300000</v>
      </c>
      <c r="G218" s="5">
        <v>3000000</v>
      </c>
      <c r="H218" s="5">
        <v>13830000</v>
      </c>
      <c r="I218" s="5">
        <v>14130000</v>
      </c>
      <c r="J218" s="5">
        <v>138800000</v>
      </c>
      <c r="K218" s="5">
        <v>141800000</v>
      </c>
      <c r="L218" s="5">
        <v>0.97916666666666663</v>
      </c>
      <c r="M218" s="7">
        <v>4242.1000000000004</v>
      </c>
      <c r="N218" s="5">
        <v>138800000</v>
      </c>
      <c r="O218" s="5">
        <v>141800000</v>
      </c>
      <c r="P218" s="3">
        <v>0.97916666666666663</v>
      </c>
    </row>
    <row r="219" spans="1:16" x14ac:dyDescent="0.25">
      <c r="A219" s="2">
        <v>46181</v>
      </c>
      <c r="B219" s="2">
        <v>46240</v>
      </c>
      <c r="C219" t="s">
        <v>16</v>
      </c>
      <c r="D219" t="s">
        <v>159</v>
      </c>
      <c r="E219">
        <v>139200000</v>
      </c>
      <c r="F219" s="5">
        <v>142200000</v>
      </c>
      <c r="G219" s="5">
        <v>3000000</v>
      </c>
      <c r="H219" s="5">
        <v>13920000</v>
      </c>
      <c r="I219" s="5">
        <v>14220000</v>
      </c>
      <c r="J219" s="5">
        <v>139700000</v>
      </c>
      <c r="K219" s="5">
        <v>142700000</v>
      </c>
      <c r="L219" s="5">
        <v>0.97916666666666663</v>
      </c>
      <c r="M219" s="7">
        <v>4228.5</v>
      </c>
      <c r="N219" s="5">
        <v>139700000</v>
      </c>
      <c r="O219" s="5">
        <v>142700000</v>
      </c>
      <c r="P219" s="3">
        <v>0.97916666666666663</v>
      </c>
    </row>
    <row r="220" spans="1:16" x14ac:dyDescent="0.25">
      <c r="A220" s="2">
        <v>46211</v>
      </c>
      <c r="B220" s="2">
        <v>46241</v>
      </c>
      <c r="C220" t="s">
        <v>17</v>
      </c>
      <c r="D220" t="s">
        <v>159</v>
      </c>
      <c r="E220">
        <v>138700000</v>
      </c>
      <c r="F220" s="5">
        <v>141700000</v>
      </c>
      <c r="G220" s="5">
        <v>3000000</v>
      </c>
      <c r="H220" s="5">
        <v>13870000</v>
      </c>
      <c r="I220" s="5">
        <v>14170000</v>
      </c>
      <c r="J220" s="5">
        <v>139200000</v>
      </c>
      <c r="K220" s="5">
        <v>142200000</v>
      </c>
      <c r="L220" s="5">
        <v>0.97916666666666663</v>
      </c>
      <c r="M220" s="7">
        <v>4337.7</v>
      </c>
      <c r="N220" s="5">
        <v>139200000</v>
      </c>
      <c r="O220" s="5">
        <v>142200000</v>
      </c>
      <c r="P220" s="3">
        <v>0.97916666666666663</v>
      </c>
    </row>
    <row r="221" spans="1:16" x14ac:dyDescent="0.25">
      <c r="A221" s="2">
        <v>46242</v>
      </c>
      <c r="B221" s="2">
        <v>46242</v>
      </c>
      <c r="C221" t="s">
        <v>18</v>
      </c>
      <c r="D221" t="s">
        <v>159</v>
      </c>
      <c r="E221">
        <v>140500000</v>
      </c>
      <c r="F221" s="5">
        <v>143500000</v>
      </c>
      <c r="G221" s="5">
        <v>3000000</v>
      </c>
      <c r="H221" s="5">
        <v>14050000</v>
      </c>
      <c r="I221" s="5">
        <v>14350000</v>
      </c>
      <c r="J221" s="5">
        <v>141000000</v>
      </c>
      <c r="K221" s="5">
        <v>144000000</v>
      </c>
      <c r="L221" s="5">
        <v>0.58333333333333337</v>
      </c>
      <c r="M221" s="7">
        <v>4343.3</v>
      </c>
      <c r="N221" s="5">
        <v>141000000</v>
      </c>
      <c r="O221" s="5">
        <v>144000000</v>
      </c>
      <c r="P221" s="3">
        <v>0.58333333333333337</v>
      </c>
    </row>
    <row r="222" spans="1:16" x14ac:dyDescent="0.25">
      <c r="A222" s="2">
        <v>46273</v>
      </c>
      <c r="B222" s="2">
        <v>46243</v>
      </c>
      <c r="C222" t="s">
        <v>19</v>
      </c>
      <c r="D222" t="s">
        <v>159</v>
      </c>
      <c r="E222">
        <v>140500000</v>
      </c>
      <c r="F222" s="5">
        <v>143500000</v>
      </c>
      <c r="G222" s="5">
        <v>3000000</v>
      </c>
      <c r="H222" s="5">
        <v>14050000</v>
      </c>
      <c r="I222" s="5">
        <v>14350000</v>
      </c>
      <c r="J222" s="5">
        <v>141000000</v>
      </c>
      <c r="K222" s="5">
        <v>144000000</v>
      </c>
      <c r="L222" s="5">
        <v>0</v>
      </c>
      <c r="M222" s="7">
        <v>4343.3</v>
      </c>
      <c r="N222" s="5">
        <v>141000000</v>
      </c>
      <c r="O222" s="5">
        <v>144000000</v>
      </c>
      <c r="P222" s="3">
        <v>0</v>
      </c>
    </row>
    <row r="223" spans="1:16" x14ac:dyDescent="0.25">
      <c r="A223" s="2">
        <v>46303</v>
      </c>
      <c r="B223" s="2">
        <v>46244</v>
      </c>
      <c r="C223" t="s">
        <v>20</v>
      </c>
      <c r="D223" t="s">
        <v>159</v>
      </c>
      <c r="E223">
        <v>140600000</v>
      </c>
      <c r="F223" s="5">
        <v>143600000</v>
      </c>
      <c r="G223" s="5">
        <v>3000000</v>
      </c>
      <c r="H223" s="5">
        <v>14060000</v>
      </c>
      <c r="I223" s="5">
        <v>14360000</v>
      </c>
      <c r="J223" s="5">
        <v>141100000</v>
      </c>
      <c r="K223" s="5">
        <v>144100000</v>
      </c>
      <c r="L223" s="5">
        <v>0.97916666666666663</v>
      </c>
      <c r="M223" s="7">
        <v>4364.3</v>
      </c>
      <c r="N223" s="5">
        <v>141100000</v>
      </c>
      <c r="O223" s="5">
        <v>144100000</v>
      </c>
      <c r="P223" s="3">
        <v>0.97916666666666663</v>
      </c>
    </row>
    <row r="224" spans="1:16" x14ac:dyDescent="0.25">
      <c r="A224" s="2">
        <v>46334</v>
      </c>
      <c r="B224" s="2">
        <v>46245</v>
      </c>
      <c r="C224" t="s">
        <v>21</v>
      </c>
      <c r="D224" t="s">
        <v>159</v>
      </c>
      <c r="E224">
        <v>140000000</v>
      </c>
      <c r="F224" s="5">
        <v>143000000</v>
      </c>
      <c r="G224" s="5">
        <v>3000000</v>
      </c>
      <c r="H224" s="5">
        <v>14000000</v>
      </c>
      <c r="I224" s="5">
        <v>14300000</v>
      </c>
      <c r="J224" s="5">
        <v>140500000</v>
      </c>
      <c r="K224" s="5">
        <v>143500000</v>
      </c>
      <c r="L224" s="5">
        <v>0.97916666666666663</v>
      </c>
      <c r="M224" s="7">
        <v>4383.8999999999996</v>
      </c>
      <c r="N224" s="5">
        <v>140500000</v>
      </c>
      <c r="O224" s="5">
        <v>143500000</v>
      </c>
      <c r="P224" s="3">
        <v>0.97916666666666663</v>
      </c>
    </row>
    <row r="225" spans="1:16" x14ac:dyDescent="0.25">
      <c r="A225" s="2">
        <v>46364</v>
      </c>
      <c r="B225" s="2">
        <v>46246</v>
      </c>
      <c r="C225" t="s">
        <v>22</v>
      </c>
      <c r="D225" t="s">
        <v>159</v>
      </c>
      <c r="E225">
        <v>140800000</v>
      </c>
      <c r="F225" s="5">
        <v>143800000</v>
      </c>
      <c r="G225" s="5">
        <v>3000000</v>
      </c>
      <c r="H225" s="5">
        <v>14080000</v>
      </c>
      <c r="I225" s="5">
        <v>14380000</v>
      </c>
      <c r="J225" s="5">
        <v>141300000</v>
      </c>
      <c r="K225" s="5">
        <v>144300000</v>
      </c>
      <c r="L225" s="5">
        <v>0.97916666666666663</v>
      </c>
      <c r="M225" s="7">
        <v>4424.6000000000004</v>
      </c>
      <c r="N225" s="5">
        <v>141300000</v>
      </c>
      <c r="O225" s="5">
        <v>144300000</v>
      </c>
      <c r="P225" s="3">
        <v>0.97916666666666663</v>
      </c>
    </row>
    <row r="226" spans="1:16" x14ac:dyDescent="0.25">
      <c r="A226" t="s">
        <v>151</v>
      </c>
      <c r="B226" s="2">
        <v>46247</v>
      </c>
      <c r="C226" t="s">
        <v>16</v>
      </c>
      <c r="D226" t="s">
        <v>159</v>
      </c>
      <c r="E226">
        <v>140800000</v>
      </c>
      <c r="F226" s="5">
        <v>143800000</v>
      </c>
      <c r="G226" s="5">
        <v>3000000</v>
      </c>
      <c r="H226" s="5">
        <v>14080000</v>
      </c>
      <c r="I226" s="5">
        <v>14380000</v>
      </c>
      <c r="J226" s="5">
        <v>141300000</v>
      </c>
      <c r="K226" s="5">
        <v>144300000</v>
      </c>
      <c r="L226" s="5">
        <v>0.97916666666666663</v>
      </c>
      <c r="M226" s="7">
        <v>4357.8999999999996</v>
      </c>
      <c r="N226" s="5">
        <v>141300000</v>
      </c>
      <c r="O226" s="5">
        <v>144300000</v>
      </c>
      <c r="P226" s="3">
        <v>0.97916666666666663</v>
      </c>
    </row>
    <row r="227" spans="1:16" x14ac:dyDescent="0.25">
      <c r="A227" t="s">
        <v>152</v>
      </c>
      <c r="B227" s="2">
        <v>46248</v>
      </c>
      <c r="C227" t="s">
        <v>17</v>
      </c>
      <c r="D227" t="s">
        <v>159</v>
      </c>
      <c r="E227">
        <v>139800000</v>
      </c>
      <c r="F227" s="5">
        <v>142800000</v>
      </c>
      <c r="G227" s="5">
        <v>3000000</v>
      </c>
      <c r="H227" s="5">
        <v>13980000</v>
      </c>
      <c r="I227" s="5">
        <v>14280000</v>
      </c>
      <c r="J227" s="5">
        <v>140300000</v>
      </c>
      <c r="K227" s="5">
        <v>143300000</v>
      </c>
      <c r="L227" s="5">
        <v>0.97916666666666663</v>
      </c>
      <c r="M227" s="7">
        <v>4388.6000000000004</v>
      </c>
      <c r="N227" s="5">
        <v>140300000</v>
      </c>
      <c r="O227" s="5">
        <v>143300000</v>
      </c>
      <c r="P227" s="3">
        <v>0.97916666666666663</v>
      </c>
    </row>
    <row r="228" spans="1:16" x14ac:dyDescent="0.25">
      <c r="A228" t="s">
        <v>153</v>
      </c>
      <c r="B228" s="2">
        <v>46249</v>
      </c>
      <c r="C228" t="s">
        <v>18</v>
      </c>
      <c r="D228" t="s">
        <v>159</v>
      </c>
      <c r="E228">
        <v>140500000</v>
      </c>
      <c r="F228" s="5">
        <v>143500000</v>
      </c>
      <c r="G228" s="5">
        <v>3000000</v>
      </c>
      <c r="H228" s="5">
        <v>14050000</v>
      </c>
      <c r="I228" s="5">
        <v>14350000</v>
      </c>
      <c r="J228" s="5">
        <v>141000000</v>
      </c>
      <c r="K228" s="5">
        <v>144000000</v>
      </c>
      <c r="L228" s="5">
        <v>0.39583333333333331</v>
      </c>
      <c r="M228" s="7">
        <v>4377.6000000000004</v>
      </c>
      <c r="N228" s="5">
        <v>141000000</v>
      </c>
      <c r="O228" s="5">
        <v>144000000</v>
      </c>
      <c r="P228" s="3">
        <v>0.39583333333333331</v>
      </c>
    </row>
    <row r="229" spans="1:16" x14ac:dyDescent="0.25">
      <c r="A229" t="s">
        <v>154</v>
      </c>
      <c r="B229" s="2">
        <v>46250</v>
      </c>
      <c r="C229" t="s">
        <v>19</v>
      </c>
      <c r="D229" t="s">
        <v>159</v>
      </c>
      <c r="E229">
        <v>140500000</v>
      </c>
      <c r="F229" s="5">
        <v>143500000</v>
      </c>
      <c r="G229" s="5">
        <v>3000000</v>
      </c>
      <c r="H229" s="5">
        <v>14050000</v>
      </c>
      <c r="I229" s="5">
        <v>14350000</v>
      </c>
      <c r="J229" s="5">
        <v>141000000</v>
      </c>
      <c r="K229" s="5">
        <v>144000000</v>
      </c>
      <c r="L229" s="5">
        <v>0</v>
      </c>
      <c r="M229" s="7">
        <v>4377.6000000000004</v>
      </c>
      <c r="N229" s="5">
        <v>141000000</v>
      </c>
      <c r="O229" s="5">
        <v>144000000</v>
      </c>
      <c r="P229" s="3">
        <v>0</v>
      </c>
    </row>
    <row r="230" spans="1:16" x14ac:dyDescent="0.25">
      <c r="A230" t="s">
        <v>155</v>
      </c>
      <c r="B230" s="2">
        <v>46251</v>
      </c>
      <c r="C230" t="s">
        <v>20</v>
      </c>
      <c r="D230" t="s">
        <v>159</v>
      </c>
      <c r="E230">
        <v>140700000</v>
      </c>
      <c r="F230" s="5">
        <v>143700000</v>
      </c>
      <c r="G230" s="5">
        <v>3000000</v>
      </c>
      <c r="H230" s="5">
        <v>14070000</v>
      </c>
      <c r="I230" s="5">
        <v>14370000</v>
      </c>
      <c r="J230" s="5">
        <v>141200000</v>
      </c>
      <c r="K230" s="5">
        <v>144200000</v>
      </c>
      <c r="L230" s="5">
        <v>0.97916666666666663</v>
      </c>
      <c r="M230" s="7">
        <v>4424.6000000000004</v>
      </c>
      <c r="N230" s="5">
        <v>141200000</v>
      </c>
      <c r="O230" s="5">
        <v>144200000</v>
      </c>
      <c r="P230" s="3">
        <v>0.97916666666666663</v>
      </c>
    </row>
    <row r="231" spans="1:16" x14ac:dyDescent="0.25">
      <c r="A231" t="s">
        <v>156</v>
      </c>
      <c r="B231" s="2">
        <v>46252</v>
      </c>
      <c r="C231" t="s">
        <v>21</v>
      </c>
      <c r="D231" t="s">
        <v>159</v>
      </c>
      <c r="E231">
        <v>140800000</v>
      </c>
      <c r="F231" s="5">
        <v>143800000</v>
      </c>
      <c r="G231" s="5">
        <v>3000000</v>
      </c>
      <c r="H231" s="5">
        <v>14080000</v>
      </c>
      <c r="I231" s="5">
        <v>14380000</v>
      </c>
      <c r="J231" s="5">
        <v>141300000</v>
      </c>
      <c r="K231" s="5">
        <v>144300000</v>
      </c>
      <c r="L231" s="5">
        <v>0.97916666666666663</v>
      </c>
      <c r="M231" s="7">
        <v>4365.7</v>
      </c>
      <c r="N231" s="5">
        <v>141300000</v>
      </c>
      <c r="O231" s="5">
        <v>144300000</v>
      </c>
      <c r="P231" s="3">
        <v>0.97916666666666663</v>
      </c>
    </row>
    <row r="232" spans="1:16" x14ac:dyDescent="0.25">
      <c r="A232" t="s">
        <v>157</v>
      </c>
      <c r="B232" s="2">
        <v>46253</v>
      </c>
      <c r="C232" t="s">
        <v>22</v>
      </c>
      <c r="D232" t="s">
        <v>159</v>
      </c>
      <c r="E232">
        <v>139200000</v>
      </c>
      <c r="F232" s="5">
        <v>142200000</v>
      </c>
      <c r="G232" s="5">
        <v>3000000</v>
      </c>
      <c r="H232" s="5">
        <v>13920000</v>
      </c>
      <c r="I232" s="5">
        <v>14220000</v>
      </c>
      <c r="J232" s="5">
        <v>139700000</v>
      </c>
      <c r="K232" s="5">
        <v>142700000</v>
      </c>
      <c r="L232" s="5">
        <v>0.97916666666666663</v>
      </c>
      <c r="M232" s="7">
        <v>4493.7</v>
      </c>
      <c r="N232" s="5">
        <v>139700000</v>
      </c>
      <c r="O232" s="5">
        <v>142700000</v>
      </c>
      <c r="P232" s="3">
        <v>0.97916666666666663</v>
      </c>
    </row>
    <row r="233" spans="1:16" x14ac:dyDescent="0.25">
      <c r="A233" t="s">
        <v>158</v>
      </c>
      <c r="B233" s="2">
        <v>46254</v>
      </c>
      <c r="C233" t="s">
        <v>16</v>
      </c>
      <c r="D233" t="s">
        <v>159</v>
      </c>
      <c r="E233">
        <v>142500000</v>
      </c>
      <c r="F233" s="5">
        <v>145500000</v>
      </c>
      <c r="G233" s="5">
        <v>3000000</v>
      </c>
      <c r="H233" s="5">
        <v>14250000</v>
      </c>
      <c r="I233" s="5">
        <v>14550000</v>
      </c>
      <c r="J233" s="5">
        <v>143000000</v>
      </c>
      <c r="K233" s="5">
        <v>146000000</v>
      </c>
      <c r="L233" s="5">
        <v>0.9375</v>
      </c>
      <c r="M233" s="7">
        <v>4533.8999999999996</v>
      </c>
      <c r="N233" s="5">
        <v>143000000</v>
      </c>
      <c r="O233" s="5">
        <v>146000000</v>
      </c>
      <c r="P233" s="3">
        <v>0.9375</v>
      </c>
    </row>
    <row r="234" spans="1:16" x14ac:dyDescent="0.25">
      <c r="A234" t="s">
        <v>172</v>
      </c>
      <c r="B234" s="2">
        <v>46255</v>
      </c>
      <c r="C234" t="s">
        <v>173</v>
      </c>
      <c r="D234" t="s">
        <v>159</v>
      </c>
      <c r="E234">
        <v>143500000</v>
      </c>
      <c r="F234" s="5">
        <v>146500000</v>
      </c>
      <c r="G234" s="5">
        <v>3000000</v>
      </c>
      <c r="H234" s="5">
        <v>14350000</v>
      </c>
      <c r="I234" s="5">
        <v>14650000</v>
      </c>
      <c r="J234" s="5">
        <v>144000000</v>
      </c>
      <c r="K234" s="5">
        <v>147000000</v>
      </c>
      <c r="L234" s="5">
        <v>0.97916666666666663</v>
      </c>
      <c r="P234" s="3"/>
    </row>
    <row r="235" spans="1:16" x14ac:dyDescent="0.25">
      <c r="A235" t="s">
        <v>174</v>
      </c>
      <c r="B235" s="2">
        <v>46256</v>
      </c>
      <c r="C235" t="s">
        <v>175</v>
      </c>
      <c r="D235" t="s">
        <v>159</v>
      </c>
      <c r="E235">
        <v>144100000</v>
      </c>
      <c r="F235" s="5">
        <v>147100000</v>
      </c>
      <c r="G235" s="5">
        <v>3000000</v>
      </c>
      <c r="H235" s="5">
        <v>14410000</v>
      </c>
      <c r="I235" s="5">
        <v>14710000</v>
      </c>
      <c r="J235" s="5">
        <v>144600000</v>
      </c>
      <c r="K235" s="5">
        <v>147600000</v>
      </c>
      <c r="L235" s="5">
        <v>0.45833333333333331</v>
      </c>
      <c r="P235" s="3"/>
    </row>
    <row r="236" spans="1:16" x14ac:dyDescent="0.25">
      <c r="A236" t="s">
        <v>176</v>
      </c>
      <c r="B236" s="2">
        <v>46257</v>
      </c>
      <c r="C236" t="s">
        <v>177</v>
      </c>
      <c r="D236" t="s">
        <v>159</v>
      </c>
      <c r="E236">
        <v>144100000</v>
      </c>
      <c r="F236" s="5">
        <v>147100000</v>
      </c>
      <c r="G236" s="5">
        <v>3000000</v>
      </c>
      <c r="H236" s="5">
        <v>14410000</v>
      </c>
      <c r="I236" s="5">
        <v>14710000</v>
      </c>
      <c r="J236" s="5">
        <v>144600000</v>
      </c>
      <c r="K236" s="5">
        <v>147600000</v>
      </c>
      <c r="L236" s="5">
        <v>0</v>
      </c>
      <c r="P23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997A-4A60-4F01-8756-E75F7EB9700F}">
  <dimension ref="A1:P233"/>
  <sheetViews>
    <sheetView workbookViewId="0"/>
  </sheetViews>
  <sheetFormatPr defaultRowHeight="13.8" x14ac:dyDescent="0.25"/>
  <cols>
    <col min="6" max="8" width="11.109375" style="5" bestFit="1" customWidth="1"/>
    <col min="9" max="9" width="10.109375" style="5" bestFit="1" customWidth="1"/>
    <col min="10" max="10" width="9.109375" style="5" bestFit="1" customWidth="1"/>
    <col min="11" max="12" width="10.109375" style="5" bestFit="1" customWidth="1"/>
    <col min="13" max="13" width="8.88671875" style="7"/>
    <col min="14" max="15" width="11.109375" style="5" bestFit="1" customWidth="1"/>
  </cols>
  <sheetData>
    <row r="1" spans="1:1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9" t="s">
        <v>13</v>
      </c>
      <c r="O1" s="9" t="s">
        <v>14</v>
      </c>
      <c r="P1" s="8" t="s">
        <v>15</v>
      </c>
    </row>
    <row r="2" spans="1:16" x14ac:dyDescent="0.25">
      <c r="A2" s="2">
        <v>46023</v>
      </c>
      <c r="B2" s="2">
        <v>46023</v>
      </c>
      <c r="C2" t="str">
        <f t="shared" ref="C2:C65" si="0">TEXT(B2,"mm")</f>
        <v>01</v>
      </c>
      <c r="D2" t="s">
        <v>16</v>
      </c>
      <c r="E2" t="s">
        <v>159</v>
      </c>
      <c r="F2" s="5">
        <v>145900000</v>
      </c>
      <c r="G2" s="5">
        <v>148900000</v>
      </c>
      <c r="H2" s="5">
        <f t="shared" ref="H2:H65" si="1">M2*26000*1.20565</f>
        <v>135406069.24000004</v>
      </c>
      <c r="I2" s="5">
        <f t="shared" ref="I2:I65" si="2">G2-H2</f>
        <v>13493930.759999961</v>
      </c>
      <c r="J2" s="5">
        <v>3000000</v>
      </c>
      <c r="K2" s="5">
        <v>14590000</v>
      </c>
      <c r="L2" s="5">
        <v>14890000</v>
      </c>
      <c r="M2" s="7">
        <v>4319.6000000000004</v>
      </c>
      <c r="N2" s="5">
        <v>150800000</v>
      </c>
      <c r="O2" s="5">
        <v>152800000</v>
      </c>
      <c r="P2" s="3">
        <v>0.35416666666666669</v>
      </c>
    </row>
    <row r="3" spans="1:16" x14ac:dyDescent="0.25">
      <c r="A3" s="2">
        <v>46054</v>
      </c>
      <c r="B3" s="2">
        <v>46024</v>
      </c>
      <c r="C3" t="str">
        <f t="shared" si="0"/>
        <v>01</v>
      </c>
      <c r="D3" t="s">
        <v>17</v>
      </c>
      <c r="E3" t="s">
        <v>159</v>
      </c>
      <c r="F3" s="5">
        <v>145900000</v>
      </c>
      <c r="G3" s="5">
        <v>148900000</v>
      </c>
      <c r="H3" s="5">
        <f t="shared" si="1"/>
        <v>135493840.56</v>
      </c>
      <c r="I3" s="5">
        <f t="shared" si="2"/>
        <v>13406159.439999998</v>
      </c>
      <c r="J3" s="5">
        <v>3000000</v>
      </c>
      <c r="K3" s="5">
        <v>14590000</v>
      </c>
      <c r="L3" s="5">
        <v>14890000</v>
      </c>
      <c r="M3" s="7">
        <v>4322.3999999999996</v>
      </c>
      <c r="N3" s="5">
        <v>150800000</v>
      </c>
      <c r="O3" s="5">
        <v>152800000</v>
      </c>
      <c r="P3" s="3">
        <v>0.97916666666666663</v>
      </c>
    </row>
    <row r="4" spans="1:16" x14ac:dyDescent="0.25">
      <c r="A4" s="2">
        <v>46082</v>
      </c>
      <c r="B4" s="2">
        <v>46025</v>
      </c>
      <c r="C4" t="str">
        <f t="shared" si="0"/>
        <v>01</v>
      </c>
      <c r="D4" t="s">
        <v>18</v>
      </c>
      <c r="E4" t="s">
        <v>159</v>
      </c>
      <c r="F4" s="5">
        <v>145900000</v>
      </c>
      <c r="G4" s="5">
        <v>148900000</v>
      </c>
      <c r="H4" s="5">
        <f t="shared" si="1"/>
        <v>135804174.87</v>
      </c>
      <c r="I4" s="5">
        <f t="shared" si="2"/>
        <v>13095825.129999995</v>
      </c>
      <c r="J4" s="5">
        <v>3000000</v>
      </c>
      <c r="K4" s="5">
        <v>14590000</v>
      </c>
      <c r="L4" s="5">
        <v>14890000</v>
      </c>
      <c r="M4" s="7">
        <v>4332.3</v>
      </c>
      <c r="N4" s="5">
        <v>150800000</v>
      </c>
      <c r="O4" s="5">
        <v>152800000</v>
      </c>
      <c r="P4" s="3">
        <v>0.35416666666666669</v>
      </c>
    </row>
    <row r="5" spans="1:16" x14ac:dyDescent="0.25">
      <c r="A5" s="2">
        <v>46113</v>
      </c>
      <c r="B5" s="2">
        <v>46026</v>
      </c>
      <c r="C5" t="str">
        <f t="shared" si="0"/>
        <v>01</v>
      </c>
      <c r="D5" t="s">
        <v>19</v>
      </c>
      <c r="E5" t="s">
        <v>159</v>
      </c>
      <c r="F5" s="5">
        <v>145900000</v>
      </c>
      <c r="G5" s="5">
        <v>148900000</v>
      </c>
      <c r="H5" s="5">
        <f t="shared" si="1"/>
        <v>135804174.87</v>
      </c>
      <c r="I5" s="5">
        <f t="shared" si="2"/>
        <v>13095825.129999995</v>
      </c>
      <c r="J5" s="5">
        <v>3000000</v>
      </c>
      <c r="K5" s="5">
        <v>14590000</v>
      </c>
      <c r="L5" s="5">
        <v>14890000</v>
      </c>
      <c r="M5" s="7">
        <v>4332.3</v>
      </c>
      <c r="N5" s="5">
        <v>150800000</v>
      </c>
      <c r="O5" s="5">
        <v>152800000</v>
      </c>
      <c r="P5" s="3">
        <v>0</v>
      </c>
    </row>
    <row r="6" spans="1:16" x14ac:dyDescent="0.25">
      <c r="A6" s="2">
        <v>46143</v>
      </c>
      <c r="B6" s="2">
        <v>46027</v>
      </c>
      <c r="C6" t="str">
        <f t="shared" si="0"/>
        <v>01</v>
      </c>
      <c r="D6" t="s">
        <v>20</v>
      </c>
      <c r="E6" t="s">
        <v>159</v>
      </c>
      <c r="F6" s="5">
        <v>149900000</v>
      </c>
      <c r="G6" s="5">
        <v>152900000</v>
      </c>
      <c r="H6" s="5">
        <f t="shared" si="1"/>
        <v>139280546.08000001</v>
      </c>
      <c r="I6" s="5">
        <f t="shared" si="2"/>
        <v>13619453.919999987</v>
      </c>
      <c r="J6" s="5">
        <v>3000000</v>
      </c>
      <c r="K6" s="5">
        <v>14990000</v>
      </c>
      <c r="L6" s="5">
        <v>15290000</v>
      </c>
      <c r="M6" s="7">
        <v>4443.2</v>
      </c>
      <c r="N6" s="5">
        <v>155100000</v>
      </c>
      <c r="O6" s="5">
        <v>157100000</v>
      </c>
      <c r="P6" s="3">
        <v>0.97916666666666663</v>
      </c>
    </row>
    <row r="7" spans="1:16" x14ac:dyDescent="0.25">
      <c r="A7" s="2">
        <v>46174</v>
      </c>
      <c r="B7" s="2">
        <v>46028</v>
      </c>
      <c r="C7" t="str">
        <f t="shared" si="0"/>
        <v>01</v>
      </c>
      <c r="D7" t="s">
        <v>21</v>
      </c>
      <c r="E7" t="s">
        <v>159</v>
      </c>
      <c r="F7" s="5">
        <v>151000000</v>
      </c>
      <c r="G7" s="5">
        <v>154000000</v>
      </c>
      <c r="H7" s="5">
        <f t="shared" si="1"/>
        <v>140575173.05000001</v>
      </c>
      <c r="I7" s="5">
        <f t="shared" si="2"/>
        <v>13424826.949999988</v>
      </c>
      <c r="J7" s="5">
        <v>3000000</v>
      </c>
      <c r="K7" s="5">
        <v>15100000</v>
      </c>
      <c r="L7" s="5">
        <v>15400000</v>
      </c>
      <c r="M7" s="7">
        <v>4484.5</v>
      </c>
      <c r="N7" s="5">
        <v>156000000</v>
      </c>
      <c r="O7" s="5">
        <v>158000000</v>
      </c>
      <c r="P7" s="3">
        <v>0.97916666666666663</v>
      </c>
    </row>
    <row r="8" spans="1:16" x14ac:dyDescent="0.25">
      <c r="A8" s="2">
        <v>46204</v>
      </c>
      <c r="B8" s="2">
        <v>46029</v>
      </c>
      <c r="C8" t="str">
        <f t="shared" si="0"/>
        <v>01</v>
      </c>
      <c r="D8" t="s">
        <v>22</v>
      </c>
      <c r="E8" t="s">
        <v>159</v>
      </c>
      <c r="F8" s="5">
        <v>152100000</v>
      </c>
      <c r="G8" s="5">
        <v>154600000</v>
      </c>
      <c r="H8" s="5">
        <f t="shared" si="1"/>
        <v>139738210.82000002</v>
      </c>
      <c r="I8" s="5">
        <f t="shared" si="2"/>
        <v>14861789.179999977</v>
      </c>
      <c r="J8" s="5">
        <v>2500000</v>
      </c>
      <c r="K8" s="5">
        <v>15210000</v>
      </c>
      <c r="L8" s="5">
        <v>15460000</v>
      </c>
      <c r="M8" s="7">
        <v>4457.8</v>
      </c>
      <c r="N8" s="5">
        <v>156100000</v>
      </c>
      <c r="O8" s="5">
        <v>158100000</v>
      </c>
      <c r="P8" s="3">
        <v>0.97916666666666663</v>
      </c>
    </row>
    <row r="9" spans="1:16" x14ac:dyDescent="0.25">
      <c r="A9" s="2">
        <v>46235</v>
      </c>
      <c r="B9" s="2">
        <v>46030</v>
      </c>
      <c r="C9" t="str">
        <f t="shared" si="0"/>
        <v>01</v>
      </c>
      <c r="D9" t="s">
        <v>16</v>
      </c>
      <c r="E9" t="s">
        <v>159</v>
      </c>
      <c r="F9" s="5">
        <v>151900000</v>
      </c>
      <c r="G9" s="5">
        <v>154400000</v>
      </c>
      <c r="H9" s="5">
        <f t="shared" si="1"/>
        <v>139688055.78</v>
      </c>
      <c r="I9" s="5">
        <f t="shared" si="2"/>
        <v>14711944.219999999</v>
      </c>
      <c r="J9" s="5">
        <v>2500000</v>
      </c>
      <c r="K9" s="5">
        <v>15190000</v>
      </c>
      <c r="L9" s="5">
        <v>15440000</v>
      </c>
      <c r="M9" s="7">
        <v>4456.2</v>
      </c>
      <c r="N9" s="5">
        <v>155200000</v>
      </c>
      <c r="O9" s="5">
        <v>157200000</v>
      </c>
      <c r="P9" s="3">
        <v>0.97916666666666663</v>
      </c>
    </row>
    <row r="10" spans="1:16" x14ac:dyDescent="0.25">
      <c r="A10" s="2">
        <v>46266</v>
      </c>
      <c r="B10" s="2">
        <v>46031</v>
      </c>
      <c r="C10" t="str">
        <f t="shared" si="0"/>
        <v>01</v>
      </c>
      <c r="D10" t="s">
        <v>17</v>
      </c>
      <c r="E10" t="s">
        <v>159</v>
      </c>
      <c r="F10" s="5">
        <v>152800000</v>
      </c>
      <c r="G10" s="5">
        <v>155300000</v>
      </c>
      <c r="H10" s="5">
        <f t="shared" si="1"/>
        <v>141217784.5</v>
      </c>
      <c r="I10" s="5">
        <f t="shared" si="2"/>
        <v>14082215.5</v>
      </c>
      <c r="J10" s="5">
        <v>2500000</v>
      </c>
      <c r="K10" s="5">
        <v>15280000</v>
      </c>
      <c r="L10" s="5">
        <v>15530000</v>
      </c>
      <c r="M10" s="7">
        <v>4505</v>
      </c>
      <c r="N10" s="5">
        <v>156300000</v>
      </c>
      <c r="O10" s="5">
        <v>158300000</v>
      </c>
      <c r="P10" s="3">
        <v>0.97916666666666663</v>
      </c>
    </row>
    <row r="11" spans="1:16" x14ac:dyDescent="0.25">
      <c r="A11" s="2">
        <v>46296</v>
      </c>
      <c r="B11" s="2">
        <v>46032</v>
      </c>
      <c r="C11" t="str">
        <f t="shared" si="0"/>
        <v>01</v>
      </c>
      <c r="D11" t="s">
        <v>18</v>
      </c>
      <c r="E11" t="s">
        <v>159</v>
      </c>
      <c r="F11" s="5">
        <v>154300000</v>
      </c>
      <c r="G11" s="5">
        <v>156800000</v>
      </c>
      <c r="H11" s="5">
        <f t="shared" si="1"/>
        <v>141399596.52000001</v>
      </c>
      <c r="I11" s="5">
        <f t="shared" si="2"/>
        <v>15400403.479999989</v>
      </c>
      <c r="J11" s="5">
        <v>2500000</v>
      </c>
      <c r="K11" s="5">
        <v>15430000</v>
      </c>
      <c r="L11" s="5">
        <v>15680000</v>
      </c>
      <c r="M11" s="7">
        <v>4510.8</v>
      </c>
      <c r="N11" s="5">
        <v>157800000</v>
      </c>
      <c r="O11" s="5">
        <v>159800000</v>
      </c>
      <c r="P11" s="3">
        <v>0.60416666666666663</v>
      </c>
    </row>
    <row r="12" spans="1:16" x14ac:dyDescent="0.25">
      <c r="A12" s="2">
        <v>46327</v>
      </c>
      <c r="B12" s="2">
        <v>46033</v>
      </c>
      <c r="C12" t="str">
        <f t="shared" si="0"/>
        <v>01</v>
      </c>
      <c r="D12" t="s">
        <v>19</v>
      </c>
      <c r="E12" t="s">
        <v>159</v>
      </c>
      <c r="F12" s="5">
        <v>154300000</v>
      </c>
      <c r="G12" s="5">
        <v>156800000</v>
      </c>
      <c r="H12" s="5">
        <f t="shared" si="1"/>
        <v>141399596.52000001</v>
      </c>
      <c r="I12" s="5">
        <f t="shared" si="2"/>
        <v>15400403.479999989</v>
      </c>
      <c r="J12" s="5">
        <v>2500000</v>
      </c>
      <c r="K12" s="5">
        <v>15430000</v>
      </c>
      <c r="L12" s="5">
        <v>15680000</v>
      </c>
      <c r="M12" s="7">
        <v>4510.8</v>
      </c>
      <c r="N12" s="5">
        <v>157800000</v>
      </c>
      <c r="O12" s="5">
        <v>159800000</v>
      </c>
      <c r="P12" s="3">
        <v>0</v>
      </c>
    </row>
    <row r="13" spans="1:16" x14ac:dyDescent="0.25">
      <c r="A13" s="2">
        <v>46357</v>
      </c>
      <c r="B13" s="2">
        <v>46034</v>
      </c>
      <c r="C13" t="str">
        <f t="shared" si="0"/>
        <v>01</v>
      </c>
      <c r="D13" t="s">
        <v>20</v>
      </c>
      <c r="E13" t="s">
        <v>159</v>
      </c>
      <c r="F13" s="5">
        <v>156500000</v>
      </c>
      <c r="G13" s="5">
        <v>159000000</v>
      </c>
      <c r="H13" s="5">
        <f t="shared" si="1"/>
        <v>144907314.63000003</v>
      </c>
      <c r="I13" s="5">
        <f t="shared" si="2"/>
        <v>14092685.369999975</v>
      </c>
      <c r="J13" s="5">
        <v>2500000</v>
      </c>
      <c r="K13" s="5">
        <v>15650000</v>
      </c>
      <c r="L13" s="5">
        <v>15900000</v>
      </c>
      <c r="M13" s="7">
        <v>4622.7</v>
      </c>
      <c r="N13" s="5">
        <v>160000000</v>
      </c>
      <c r="O13" s="5">
        <v>162000000</v>
      </c>
      <c r="P13" s="3">
        <v>0.95833333333333337</v>
      </c>
    </row>
    <row r="14" spans="1:16" x14ac:dyDescent="0.25">
      <c r="A14" t="s">
        <v>23</v>
      </c>
      <c r="B14" s="2">
        <v>46035</v>
      </c>
      <c r="C14" t="str">
        <f t="shared" si="0"/>
        <v>01</v>
      </c>
      <c r="D14" t="s">
        <v>21</v>
      </c>
      <c r="E14" t="s">
        <v>159</v>
      </c>
      <c r="F14" s="5">
        <v>156500000</v>
      </c>
      <c r="G14" s="5">
        <v>159000000</v>
      </c>
      <c r="H14" s="5">
        <f t="shared" si="1"/>
        <v>144092295.23000002</v>
      </c>
      <c r="I14" s="5">
        <f t="shared" si="2"/>
        <v>14907704.769999981</v>
      </c>
      <c r="J14" s="5">
        <v>2500000</v>
      </c>
      <c r="K14" s="5">
        <v>15650000</v>
      </c>
      <c r="L14" s="5">
        <v>15900000</v>
      </c>
      <c r="M14" s="7">
        <v>4596.7</v>
      </c>
      <c r="N14" s="5">
        <v>160000000</v>
      </c>
      <c r="O14" s="5">
        <v>162000000</v>
      </c>
      <c r="P14" s="3">
        <v>0.97916666666666663</v>
      </c>
    </row>
    <row r="15" spans="1:16" x14ac:dyDescent="0.25">
      <c r="A15" t="s">
        <v>24</v>
      </c>
      <c r="B15" s="2">
        <v>46036</v>
      </c>
      <c r="C15" t="str">
        <f t="shared" si="0"/>
        <v>01</v>
      </c>
      <c r="D15" t="s">
        <v>22</v>
      </c>
      <c r="E15" t="s">
        <v>159</v>
      </c>
      <c r="F15" s="5">
        <v>157900000</v>
      </c>
      <c r="G15" s="5">
        <v>160400000</v>
      </c>
      <c r="H15" s="5">
        <f t="shared" si="1"/>
        <v>144891641.18000001</v>
      </c>
      <c r="I15" s="5">
        <f t="shared" si="2"/>
        <v>15508358.819999993</v>
      </c>
      <c r="J15" s="5">
        <v>2500000</v>
      </c>
      <c r="K15" s="5">
        <v>15790000</v>
      </c>
      <c r="L15" s="5">
        <v>16040000</v>
      </c>
      <c r="M15" s="7">
        <v>4622.2</v>
      </c>
      <c r="N15" s="5">
        <v>161500000</v>
      </c>
      <c r="O15" s="5">
        <v>163500000</v>
      </c>
      <c r="P15" s="3">
        <v>0.97916666666666663</v>
      </c>
    </row>
    <row r="16" spans="1:16" x14ac:dyDescent="0.25">
      <c r="A16" t="s">
        <v>25</v>
      </c>
      <c r="B16" s="2">
        <v>46037</v>
      </c>
      <c r="C16" t="str">
        <f t="shared" si="0"/>
        <v>01</v>
      </c>
      <c r="D16" t="s">
        <v>16</v>
      </c>
      <c r="E16" t="s">
        <v>159</v>
      </c>
      <c r="F16" s="5">
        <v>157200000</v>
      </c>
      <c r="G16" s="5">
        <v>159700000</v>
      </c>
      <c r="H16" s="5">
        <f t="shared" si="1"/>
        <v>144678482.25999999</v>
      </c>
      <c r="I16" s="5">
        <f t="shared" si="2"/>
        <v>15021517.74000001</v>
      </c>
      <c r="J16" s="5">
        <v>2500000</v>
      </c>
      <c r="K16" s="5">
        <v>15720000</v>
      </c>
      <c r="L16" s="5">
        <v>15970000</v>
      </c>
      <c r="M16" s="7">
        <v>4615.3999999999996</v>
      </c>
      <c r="N16" s="5">
        <v>160800000</v>
      </c>
      <c r="O16" s="5">
        <v>162800000</v>
      </c>
      <c r="P16" s="3">
        <v>0.97916666666666663</v>
      </c>
    </row>
    <row r="17" spans="1:16" x14ac:dyDescent="0.25">
      <c r="A17" t="s">
        <v>26</v>
      </c>
      <c r="B17" s="2">
        <v>46038</v>
      </c>
      <c r="C17" t="str">
        <f t="shared" si="0"/>
        <v>01</v>
      </c>
      <c r="D17" t="s">
        <v>17</v>
      </c>
      <c r="E17" t="s">
        <v>159</v>
      </c>
      <c r="F17" s="5">
        <v>157200000</v>
      </c>
      <c r="G17" s="5">
        <v>159700000</v>
      </c>
      <c r="H17" s="5">
        <f t="shared" si="1"/>
        <v>144017062.67000002</v>
      </c>
      <c r="I17" s="5">
        <f t="shared" si="2"/>
        <v>15682937.329999983</v>
      </c>
      <c r="J17" s="5">
        <v>2500000</v>
      </c>
      <c r="K17" s="5">
        <v>15720000</v>
      </c>
      <c r="L17" s="5">
        <v>15970000</v>
      </c>
      <c r="M17" s="7">
        <v>4594.3</v>
      </c>
      <c r="N17" s="5">
        <v>160800000</v>
      </c>
      <c r="O17" s="5">
        <v>162800000</v>
      </c>
      <c r="P17" s="3">
        <v>0.97916666666666663</v>
      </c>
    </row>
    <row r="18" spans="1:16" x14ac:dyDescent="0.25">
      <c r="A18" t="s">
        <v>27</v>
      </c>
      <c r="B18" s="2">
        <v>46039</v>
      </c>
      <c r="C18" t="str">
        <f t="shared" si="0"/>
        <v>01</v>
      </c>
      <c r="D18" t="s">
        <v>18</v>
      </c>
      <c r="E18" t="s">
        <v>159</v>
      </c>
      <c r="F18" s="5">
        <v>157200000</v>
      </c>
      <c r="G18" s="5">
        <v>159700000</v>
      </c>
      <c r="H18" s="5">
        <f t="shared" si="1"/>
        <v>144133046.20000002</v>
      </c>
      <c r="I18" s="5">
        <f t="shared" si="2"/>
        <v>15566953.799999982</v>
      </c>
      <c r="J18" s="5">
        <v>2500000</v>
      </c>
      <c r="K18" s="5">
        <v>15720000</v>
      </c>
      <c r="L18" s="5">
        <v>15970000</v>
      </c>
      <c r="M18" s="7">
        <v>4598</v>
      </c>
      <c r="N18" s="5">
        <v>160800000</v>
      </c>
      <c r="O18" s="5">
        <v>162800000</v>
      </c>
      <c r="P18" s="3">
        <v>0.22916666666666666</v>
      </c>
    </row>
    <row r="19" spans="1:16" x14ac:dyDescent="0.25">
      <c r="A19" t="s">
        <v>28</v>
      </c>
      <c r="B19" s="2">
        <v>46040</v>
      </c>
      <c r="C19" t="str">
        <f t="shared" si="0"/>
        <v>01</v>
      </c>
      <c r="D19" t="s">
        <v>19</v>
      </c>
      <c r="E19" t="s">
        <v>159</v>
      </c>
      <c r="F19" s="5">
        <v>157200000</v>
      </c>
      <c r="G19" s="5">
        <v>159700000</v>
      </c>
      <c r="H19" s="5">
        <f t="shared" si="1"/>
        <v>144133046.20000002</v>
      </c>
      <c r="I19" s="5">
        <f t="shared" si="2"/>
        <v>15566953.799999982</v>
      </c>
      <c r="J19" s="5">
        <v>2500000</v>
      </c>
      <c r="K19" s="5">
        <v>15720000</v>
      </c>
      <c r="L19" s="5">
        <v>15970000</v>
      </c>
      <c r="M19" s="7">
        <v>4598</v>
      </c>
      <c r="N19" s="5">
        <v>160800000</v>
      </c>
      <c r="O19" s="5">
        <v>162800000</v>
      </c>
      <c r="P19" s="3">
        <v>0</v>
      </c>
    </row>
    <row r="20" spans="1:16" x14ac:dyDescent="0.25">
      <c r="A20" t="s">
        <v>29</v>
      </c>
      <c r="B20" s="2">
        <v>46041</v>
      </c>
      <c r="C20" t="str">
        <f t="shared" si="0"/>
        <v>01</v>
      </c>
      <c r="D20" t="s">
        <v>20</v>
      </c>
      <c r="E20" t="s">
        <v>159</v>
      </c>
      <c r="F20" s="5">
        <v>159700000</v>
      </c>
      <c r="G20" s="5">
        <v>162200000</v>
      </c>
      <c r="H20" s="5">
        <f t="shared" si="1"/>
        <v>146480929.00999999</v>
      </c>
      <c r="I20" s="5">
        <f t="shared" si="2"/>
        <v>15719070.99000001</v>
      </c>
      <c r="J20" s="5">
        <v>2500000</v>
      </c>
      <c r="K20" s="5">
        <v>15970000</v>
      </c>
      <c r="L20" s="5">
        <v>16220000</v>
      </c>
      <c r="M20" s="7">
        <v>4672.8999999999996</v>
      </c>
      <c r="N20" s="5">
        <v>163000000</v>
      </c>
      <c r="O20" s="5">
        <v>165000000</v>
      </c>
      <c r="P20" s="3">
        <v>0.97916666666666663</v>
      </c>
    </row>
    <row r="21" spans="1:16" x14ac:dyDescent="0.25">
      <c r="A21" t="s">
        <v>30</v>
      </c>
      <c r="B21" s="2">
        <v>46042</v>
      </c>
      <c r="C21" t="str">
        <f t="shared" si="0"/>
        <v>01</v>
      </c>
      <c r="D21" t="s">
        <v>21</v>
      </c>
      <c r="E21" t="s">
        <v>159</v>
      </c>
      <c r="F21" s="5">
        <v>161000000</v>
      </c>
      <c r="G21" s="5">
        <v>163500000</v>
      </c>
      <c r="H21" s="5">
        <f t="shared" si="1"/>
        <v>148687750.77000001</v>
      </c>
      <c r="I21" s="5">
        <f t="shared" si="2"/>
        <v>14812249.229999989</v>
      </c>
      <c r="J21" s="5">
        <v>2500000</v>
      </c>
      <c r="K21" s="5">
        <v>16100000</v>
      </c>
      <c r="L21" s="5">
        <v>16350000</v>
      </c>
      <c r="M21" s="7">
        <v>4743.3</v>
      </c>
      <c r="N21" s="5">
        <v>164100000</v>
      </c>
      <c r="O21" s="5">
        <v>166100000</v>
      </c>
      <c r="P21" s="3">
        <v>0.97916666666666663</v>
      </c>
    </row>
    <row r="22" spans="1:16" x14ac:dyDescent="0.25">
      <c r="A22" t="s">
        <v>31</v>
      </c>
      <c r="B22" s="2">
        <v>46043</v>
      </c>
      <c r="C22" t="str">
        <f t="shared" si="0"/>
        <v>01</v>
      </c>
      <c r="D22" t="s">
        <v>22</v>
      </c>
      <c r="E22" t="s">
        <v>159</v>
      </c>
      <c r="F22" s="5">
        <v>165900000</v>
      </c>
      <c r="G22" s="5">
        <v>168400000</v>
      </c>
      <c r="H22" s="5">
        <f t="shared" si="1"/>
        <v>151693918.48000002</v>
      </c>
      <c r="I22" s="5">
        <f t="shared" si="2"/>
        <v>16706081.519999981</v>
      </c>
      <c r="J22" s="5">
        <v>2500000</v>
      </c>
      <c r="K22" s="5">
        <v>16590000</v>
      </c>
      <c r="L22" s="5">
        <v>16840000</v>
      </c>
      <c r="M22" s="7">
        <v>4839.2</v>
      </c>
      <c r="N22" s="5">
        <v>168500000</v>
      </c>
      <c r="O22" s="5">
        <v>170500000</v>
      </c>
      <c r="P22" s="3">
        <v>0.97916666666666663</v>
      </c>
    </row>
    <row r="23" spans="1:16" x14ac:dyDescent="0.25">
      <c r="A23" t="s">
        <v>32</v>
      </c>
      <c r="B23" s="2">
        <v>46044</v>
      </c>
      <c r="C23" t="str">
        <f t="shared" si="0"/>
        <v>01</v>
      </c>
      <c r="D23" t="s">
        <v>16</v>
      </c>
      <c r="E23" t="s">
        <v>159</v>
      </c>
      <c r="F23" s="5">
        <v>165200000</v>
      </c>
      <c r="G23" s="5">
        <v>167700000</v>
      </c>
      <c r="H23" s="5">
        <f t="shared" si="1"/>
        <v>152947794.48000002</v>
      </c>
      <c r="I23" s="5">
        <f t="shared" si="2"/>
        <v>14752205.519999981</v>
      </c>
      <c r="J23" s="5">
        <v>2500000</v>
      </c>
      <c r="K23" s="5">
        <v>16520000</v>
      </c>
      <c r="L23" s="5">
        <v>16770000</v>
      </c>
      <c r="M23" s="7">
        <v>4879.2</v>
      </c>
      <c r="N23" s="5">
        <v>167300000</v>
      </c>
      <c r="O23" s="5">
        <v>169300000</v>
      </c>
      <c r="P23" s="3">
        <v>0.97916666666666663</v>
      </c>
    </row>
    <row r="24" spans="1:16" x14ac:dyDescent="0.25">
      <c r="A24" t="s">
        <v>33</v>
      </c>
      <c r="B24" s="2">
        <v>46045</v>
      </c>
      <c r="C24" t="str">
        <f t="shared" si="0"/>
        <v>01</v>
      </c>
      <c r="D24" t="s">
        <v>17</v>
      </c>
      <c r="E24" t="s">
        <v>159</v>
      </c>
      <c r="F24" s="5">
        <v>168300000</v>
      </c>
      <c r="G24" s="5">
        <v>170800000</v>
      </c>
      <c r="H24" s="5">
        <f t="shared" si="1"/>
        <v>156320720.92000002</v>
      </c>
      <c r="I24" s="5">
        <f t="shared" si="2"/>
        <v>14479279.079999983</v>
      </c>
      <c r="J24" s="5">
        <v>2500000</v>
      </c>
      <c r="K24" s="5">
        <v>16830000</v>
      </c>
      <c r="L24" s="5">
        <v>17080000</v>
      </c>
      <c r="M24" s="7">
        <v>4986.8</v>
      </c>
      <c r="N24" s="5">
        <v>170200000</v>
      </c>
      <c r="O24" s="5">
        <v>172200000</v>
      </c>
      <c r="P24" s="3">
        <v>0.97916666666666663</v>
      </c>
    </row>
    <row r="25" spans="1:16" x14ac:dyDescent="0.25">
      <c r="A25" t="s">
        <v>34</v>
      </c>
      <c r="B25" s="2">
        <v>46046</v>
      </c>
      <c r="C25" t="str">
        <f t="shared" si="0"/>
        <v>01</v>
      </c>
      <c r="D25" t="s">
        <v>18</v>
      </c>
      <c r="E25" t="s">
        <v>159</v>
      </c>
      <c r="F25" s="5">
        <v>170500000</v>
      </c>
      <c r="G25" s="5">
        <v>173000000</v>
      </c>
      <c r="H25" s="5">
        <f t="shared" si="1"/>
        <v>156267431.19000003</v>
      </c>
      <c r="I25" s="5">
        <f t="shared" si="2"/>
        <v>16732568.809999973</v>
      </c>
      <c r="J25" s="5">
        <v>2500000</v>
      </c>
      <c r="K25" s="5">
        <v>17050000</v>
      </c>
      <c r="L25" s="5">
        <v>17300000</v>
      </c>
      <c r="M25" s="7">
        <v>4985.1000000000004</v>
      </c>
      <c r="N25" s="5">
        <v>172300000</v>
      </c>
      <c r="O25" s="5">
        <v>174300000</v>
      </c>
      <c r="P25" s="3">
        <v>0.39583333333333331</v>
      </c>
    </row>
    <row r="26" spans="1:16" x14ac:dyDescent="0.25">
      <c r="A26" t="s">
        <v>35</v>
      </c>
      <c r="B26" s="2">
        <v>46047</v>
      </c>
      <c r="C26" t="str">
        <f t="shared" si="0"/>
        <v>01</v>
      </c>
      <c r="D26" t="s">
        <v>19</v>
      </c>
      <c r="E26" t="s">
        <v>159</v>
      </c>
      <c r="F26" s="5">
        <v>170500000</v>
      </c>
      <c r="G26" s="5">
        <v>173000000</v>
      </c>
      <c r="H26" s="5">
        <f t="shared" si="1"/>
        <v>156267431.19000003</v>
      </c>
      <c r="I26" s="5">
        <f t="shared" si="2"/>
        <v>16732568.809999973</v>
      </c>
      <c r="J26" s="5">
        <v>2500000</v>
      </c>
      <c r="K26" s="5">
        <v>17050000</v>
      </c>
      <c r="L26" s="5">
        <v>17300000</v>
      </c>
      <c r="M26" s="7">
        <v>4985.1000000000004</v>
      </c>
      <c r="N26" s="5">
        <v>172300000</v>
      </c>
      <c r="O26" s="5">
        <v>174300000</v>
      </c>
      <c r="P26" s="3">
        <v>0</v>
      </c>
    </row>
    <row r="27" spans="1:16" x14ac:dyDescent="0.25">
      <c r="A27" t="s">
        <v>36</v>
      </c>
      <c r="B27" s="2">
        <v>46048</v>
      </c>
      <c r="C27" t="str">
        <f t="shared" si="0"/>
        <v>01</v>
      </c>
      <c r="D27" t="s">
        <v>20</v>
      </c>
      <c r="E27" t="s">
        <v>159</v>
      </c>
      <c r="F27" s="5">
        <v>173500000</v>
      </c>
      <c r="G27" s="5">
        <v>176000000</v>
      </c>
      <c r="H27" s="5">
        <f t="shared" si="1"/>
        <v>159351966.15000001</v>
      </c>
      <c r="I27" s="5">
        <f t="shared" si="2"/>
        <v>16648033.849999994</v>
      </c>
      <c r="J27" s="5">
        <v>2500000</v>
      </c>
      <c r="K27" s="5">
        <v>17350000</v>
      </c>
      <c r="L27" s="5">
        <v>17600000</v>
      </c>
      <c r="M27" s="7">
        <v>5083.5</v>
      </c>
      <c r="N27" s="5">
        <v>175000000</v>
      </c>
      <c r="O27" s="5">
        <v>177000000</v>
      </c>
      <c r="P27" s="3">
        <v>0.97916666666666663</v>
      </c>
    </row>
    <row r="28" spans="1:16" x14ac:dyDescent="0.25">
      <c r="A28" t="s">
        <v>37</v>
      </c>
      <c r="B28" s="2">
        <v>46049</v>
      </c>
      <c r="C28" t="str">
        <f t="shared" si="0"/>
        <v>01</v>
      </c>
      <c r="D28" t="s">
        <v>21</v>
      </c>
      <c r="E28" t="s">
        <v>159</v>
      </c>
      <c r="F28" s="5">
        <v>174100000</v>
      </c>
      <c r="G28" s="5">
        <v>176600000</v>
      </c>
      <c r="H28" s="5">
        <f t="shared" si="1"/>
        <v>159759475.85000002</v>
      </c>
      <c r="I28" s="5">
        <f t="shared" si="2"/>
        <v>16840524.149999976</v>
      </c>
      <c r="J28" s="5">
        <v>2500000</v>
      </c>
      <c r="K28" s="5">
        <v>17410000</v>
      </c>
      <c r="L28" s="5">
        <v>17660000</v>
      </c>
      <c r="M28" s="7">
        <v>5096.5</v>
      </c>
      <c r="N28" s="5">
        <v>175300000</v>
      </c>
      <c r="O28" s="5">
        <v>177300000</v>
      </c>
      <c r="P28" s="3">
        <v>0.97916666666666663</v>
      </c>
    </row>
    <row r="29" spans="1:16" x14ac:dyDescent="0.25">
      <c r="A29" t="s">
        <v>38</v>
      </c>
      <c r="B29" s="2">
        <v>46050</v>
      </c>
      <c r="C29" t="str">
        <f t="shared" si="0"/>
        <v>01</v>
      </c>
      <c r="D29" t="s">
        <v>22</v>
      </c>
      <c r="E29" t="s">
        <v>159</v>
      </c>
      <c r="F29" s="5">
        <v>180700000</v>
      </c>
      <c r="G29" s="5">
        <v>183700000</v>
      </c>
      <c r="H29" s="5">
        <f t="shared" si="1"/>
        <v>165762407.20000002</v>
      </c>
      <c r="I29" s="5">
        <f t="shared" si="2"/>
        <v>17937592.799999982</v>
      </c>
      <c r="J29" s="5">
        <v>3000000</v>
      </c>
      <c r="K29" s="5">
        <v>18070000</v>
      </c>
      <c r="L29" s="5">
        <v>18370000</v>
      </c>
      <c r="M29" s="7">
        <v>5288</v>
      </c>
      <c r="N29" s="5">
        <v>181700000</v>
      </c>
      <c r="O29" s="5">
        <v>184200000</v>
      </c>
      <c r="P29" s="3">
        <v>0.97916666666666663</v>
      </c>
    </row>
    <row r="30" spans="1:16" x14ac:dyDescent="0.25">
      <c r="A30" t="s">
        <v>39</v>
      </c>
      <c r="B30" s="2">
        <v>46051</v>
      </c>
      <c r="C30" t="str">
        <f t="shared" si="0"/>
        <v>01</v>
      </c>
      <c r="D30" t="s">
        <v>16</v>
      </c>
      <c r="E30" t="s">
        <v>159</v>
      </c>
      <c r="F30" s="5">
        <v>186300000</v>
      </c>
      <c r="G30" s="5">
        <v>189300000</v>
      </c>
      <c r="H30" s="5">
        <f t="shared" si="1"/>
        <v>165853313.21000001</v>
      </c>
      <c r="I30" s="5">
        <f t="shared" si="2"/>
        <v>23446686.789999992</v>
      </c>
      <c r="J30" s="5">
        <v>3000000</v>
      </c>
      <c r="K30" s="5">
        <v>18630000</v>
      </c>
      <c r="L30" s="5">
        <v>18930000</v>
      </c>
      <c r="M30" s="7">
        <v>5290.9</v>
      </c>
      <c r="N30" s="5">
        <v>186600000</v>
      </c>
      <c r="O30" s="5">
        <v>189600000</v>
      </c>
      <c r="P30" s="3">
        <v>0.97916666666666663</v>
      </c>
    </row>
    <row r="31" spans="1:16" x14ac:dyDescent="0.25">
      <c r="A31" t="s">
        <v>40</v>
      </c>
      <c r="B31" s="2">
        <v>46052</v>
      </c>
      <c r="C31" t="str">
        <f t="shared" si="0"/>
        <v>01</v>
      </c>
      <c r="D31" t="s">
        <v>17</v>
      </c>
      <c r="E31" t="s">
        <v>159</v>
      </c>
      <c r="F31" s="5">
        <v>177000000</v>
      </c>
      <c r="G31" s="5">
        <v>180000000</v>
      </c>
      <c r="H31" s="5">
        <f t="shared" si="1"/>
        <v>156794059.10999998</v>
      </c>
      <c r="I31" s="5">
        <f t="shared" si="2"/>
        <v>23205940.890000015</v>
      </c>
      <c r="J31" s="5">
        <v>3000000</v>
      </c>
      <c r="K31" s="5">
        <v>17700000</v>
      </c>
      <c r="L31" s="5">
        <v>18000000</v>
      </c>
      <c r="M31" s="7">
        <v>5001.8999999999996</v>
      </c>
      <c r="N31" s="5">
        <v>178000000</v>
      </c>
      <c r="O31" s="5">
        <v>181000000</v>
      </c>
      <c r="P31" s="3">
        <v>0.97916666666666663</v>
      </c>
    </row>
    <row r="32" spans="1:16" x14ac:dyDescent="0.25">
      <c r="A32" t="s">
        <v>41</v>
      </c>
      <c r="B32" s="2">
        <v>46053</v>
      </c>
      <c r="C32" t="str">
        <f t="shared" si="0"/>
        <v>01</v>
      </c>
      <c r="D32" t="s">
        <v>18</v>
      </c>
      <c r="E32" t="s">
        <v>159</v>
      </c>
      <c r="F32" s="5">
        <v>168000000</v>
      </c>
      <c r="G32" s="5">
        <v>171000000</v>
      </c>
      <c r="H32" s="5">
        <f t="shared" si="1"/>
        <v>153330226.66</v>
      </c>
      <c r="I32" s="5">
        <f t="shared" si="2"/>
        <v>17669773.340000004</v>
      </c>
      <c r="J32" s="5">
        <v>3000000</v>
      </c>
      <c r="K32" s="5">
        <v>16800000</v>
      </c>
      <c r="L32" s="5">
        <v>17100000</v>
      </c>
      <c r="M32" s="7">
        <v>4891.3999999999996</v>
      </c>
      <c r="N32" s="5">
        <v>169000000</v>
      </c>
      <c r="O32" s="5">
        <v>172000000</v>
      </c>
      <c r="P32" s="3">
        <v>0.39583333333333331</v>
      </c>
    </row>
    <row r="33" spans="1:16" x14ac:dyDescent="0.25">
      <c r="A33" s="2">
        <v>46024</v>
      </c>
      <c r="B33" s="2">
        <v>46054</v>
      </c>
      <c r="C33" t="str">
        <f t="shared" si="0"/>
        <v>02</v>
      </c>
      <c r="D33" t="s">
        <v>19</v>
      </c>
      <c r="E33" t="s">
        <v>159</v>
      </c>
      <c r="F33" s="5">
        <v>168000000</v>
      </c>
      <c r="G33" s="5">
        <v>171000000</v>
      </c>
      <c r="H33" s="5">
        <f t="shared" si="1"/>
        <v>153330226.66</v>
      </c>
      <c r="I33" s="5">
        <f t="shared" si="2"/>
        <v>17669773.340000004</v>
      </c>
      <c r="J33" s="5">
        <v>3000000</v>
      </c>
      <c r="K33" s="5">
        <v>16800000</v>
      </c>
      <c r="L33" s="5">
        <v>17100000</v>
      </c>
      <c r="M33" s="7">
        <v>4891.3999999999996</v>
      </c>
      <c r="N33" s="5">
        <v>169000000</v>
      </c>
      <c r="O33" s="5">
        <v>172000000</v>
      </c>
      <c r="P33" s="3">
        <v>0.375</v>
      </c>
    </row>
    <row r="34" spans="1:16" x14ac:dyDescent="0.25">
      <c r="A34" s="2">
        <v>46055</v>
      </c>
      <c r="B34" s="2">
        <v>46055</v>
      </c>
      <c r="C34" t="str">
        <f t="shared" si="0"/>
        <v>02</v>
      </c>
      <c r="D34" t="s">
        <v>20</v>
      </c>
      <c r="E34" t="s">
        <v>159</v>
      </c>
      <c r="F34" s="5">
        <v>162500000</v>
      </c>
      <c r="G34" s="5">
        <v>165500000</v>
      </c>
      <c r="H34" s="5">
        <f t="shared" si="1"/>
        <v>146308521.06</v>
      </c>
      <c r="I34" s="5">
        <f t="shared" si="2"/>
        <v>19191478.939999998</v>
      </c>
      <c r="J34" s="5">
        <v>3000000</v>
      </c>
      <c r="K34" s="5">
        <v>16250000</v>
      </c>
      <c r="L34" s="5">
        <v>16550000</v>
      </c>
      <c r="M34" s="7">
        <v>4667.3999999999996</v>
      </c>
      <c r="N34" s="5">
        <v>163000000</v>
      </c>
      <c r="O34" s="5">
        <v>166000000</v>
      </c>
      <c r="P34" s="3">
        <v>0.97916666666666663</v>
      </c>
    </row>
    <row r="35" spans="1:16" x14ac:dyDescent="0.25">
      <c r="A35" s="2">
        <v>46083</v>
      </c>
      <c r="B35" s="2">
        <v>46056</v>
      </c>
      <c r="C35" t="str">
        <f t="shared" si="0"/>
        <v>02</v>
      </c>
      <c r="D35" t="s">
        <v>21</v>
      </c>
      <c r="E35" t="s">
        <v>159</v>
      </c>
      <c r="F35" s="5">
        <v>171500000</v>
      </c>
      <c r="G35" s="5">
        <v>174500000</v>
      </c>
      <c r="H35" s="5">
        <f t="shared" si="1"/>
        <v>156088753.85999998</v>
      </c>
      <c r="I35" s="5">
        <f t="shared" si="2"/>
        <v>18411246.140000015</v>
      </c>
      <c r="J35" s="5">
        <v>3000000</v>
      </c>
      <c r="K35" s="5">
        <v>17150000</v>
      </c>
      <c r="L35" s="5">
        <v>17450000</v>
      </c>
      <c r="M35" s="7">
        <v>4979.3999999999996</v>
      </c>
      <c r="N35" s="5">
        <v>173500000</v>
      </c>
      <c r="O35" s="5">
        <v>176500000</v>
      </c>
      <c r="P35" s="3">
        <v>0.97916666666666663</v>
      </c>
    </row>
    <row r="36" spans="1:16" x14ac:dyDescent="0.25">
      <c r="A36" s="2">
        <v>46114</v>
      </c>
      <c r="B36" s="2">
        <v>46057</v>
      </c>
      <c r="C36" t="str">
        <f t="shared" si="0"/>
        <v>02</v>
      </c>
      <c r="D36" t="s">
        <v>22</v>
      </c>
      <c r="E36" t="s">
        <v>159</v>
      </c>
      <c r="F36" s="5">
        <v>176700000</v>
      </c>
      <c r="G36" s="5">
        <v>179700000</v>
      </c>
      <c r="H36" s="5">
        <f t="shared" si="1"/>
        <v>154308249.94000003</v>
      </c>
      <c r="I36" s="5">
        <f t="shared" si="2"/>
        <v>25391750.059999973</v>
      </c>
      <c r="J36" s="5">
        <v>3000000</v>
      </c>
      <c r="K36" s="5">
        <v>17670000</v>
      </c>
      <c r="L36" s="5">
        <v>17970000</v>
      </c>
      <c r="M36" s="7">
        <v>4922.6000000000004</v>
      </c>
      <c r="N36" s="5">
        <v>177200000</v>
      </c>
      <c r="O36" s="5">
        <v>180200000</v>
      </c>
      <c r="P36" s="3">
        <v>0.97916666666666663</v>
      </c>
    </row>
    <row r="37" spans="1:16" x14ac:dyDescent="0.25">
      <c r="A37" s="2">
        <v>46144</v>
      </c>
      <c r="B37" s="2">
        <v>46058</v>
      </c>
      <c r="C37" t="str">
        <f t="shared" si="0"/>
        <v>02</v>
      </c>
      <c r="D37" t="s">
        <v>16</v>
      </c>
      <c r="E37" t="s">
        <v>159</v>
      </c>
      <c r="F37" s="5">
        <v>171500000</v>
      </c>
      <c r="G37" s="5">
        <v>174500000</v>
      </c>
      <c r="H37" s="5">
        <f t="shared" si="1"/>
        <v>152211142.33000001</v>
      </c>
      <c r="I37" s="5">
        <f t="shared" si="2"/>
        <v>22288857.669999987</v>
      </c>
      <c r="J37" s="5">
        <v>3000000</v>
      </c>
      <c r="K37" s="5">
        <v>17150000</v>
      </c>
      <c r="L37" s="5">
        <v>17450000</v>
      </c>
      <c r="M37" s="7">
        <v>4855.7</v>
      </c>
      <c r="N37" s="5">
        <v>174200000</v>
      </c>
      <c r="O37" s="5">
        <v>177200000</v>
      </c>
      <c r="P37" s="3">
        <v>0.97916666666666663</v>
      </c>
    </row>
    <row r="38" spans="1:16" x14ac:dyDescent="0.25">
      <c r="A38" s="2">
        <v>46175</v>
      </c>
      <c r="B38" s="2">
        <v>46059</v>
      </c>
      <c r="C38" t="str">
        <f t="shared" si="0"/>
        <v>02</v>
      </c>
      <c r="D38" t="s">
        <v>17</v>
      </c>
      <c r="E38" t="s">
        <v>159</v>
      </c>
      <c r="F38" s="5">
        <v>173000000</v>
      </c>
      <c r="G38" s="5">
        <v>176000000</v>
      </c>
      <c r="H38" s="5">
        <f t="shared" si="1"/>
        <v>154834877.85999998</v>
      </c>
      <c r="I38" s="5">
        <f t="shared" si="2"/>
        <v>21165122.140000015</v>
      </c>
      <c r="J38" s="5">
        <v>3000000</v>
      </c>
      <c r="K38" s="5">
        <v>17300000</v>
      </c>
      <c r="L38" s="5">
        <v>17600000</v>
      </c>
      <c r="M38" s="7">
        <v>4939.3999999999996</v>
      </c>
      <c r="N38" s="5">
        <v>173500000</v>
      </c>
      <c r="O38" s="5">
        <v>176500000</v>
      </c>
      <c r="P38" s="3">
        <v>0.97916666666666663</v>
      </c>
    </row>
    <row r="39" spans="1:16" x14ac:dyDescent="0.25">
      <c r="A39" s="2">
        <v>46205</v>
      </c>
      <c r="B39" s="2">
        <v>46060</v>
      </c>
      <c r="C39" t="str">
        <f t="shared" si="0"/>
        <v>02</v>
      </c>
      <c r="D39" t="s">
        <v>18</v>
      </c>
      <c r="E39" t="s">
        <v>159</v>
      </c>
      <c r="F39" s="5">
        <v>175800000</v>
      </c>
      <c r="G39" s="5">
        <v>178800000</v>
      </c>
      <c r="H39" s="5">
        <f t="shared" si="1"/>
        <v>155731399.20000002</v>
      </c>
      <c r="I39" s="5">
        <f t="shared" si="2"/>
        <v>23068600.799999982</v>
      </c>
      <c r="J39" s="5">
        <v>3000000</v>
      </c>
      <c r="K39" s="5">
        <v>17580000</v>
      </c>
      <c r="L39" s="5">
        <v>17880000</v>
      </c>
      <c r="M39" s="7">
        <v>4968</v>
      </c>
      <c r="N39" s="5">
        <v>176300000</v>
      </c>
      <c r="O39" s="5">
        <v>179300000</v>
      </c>
      <c r="P39" s="3">
        <v>0.39583333333333331</v>
      </c>
    </row>
    <row r="40" spans="1:16" x14ac:dyDescent="0.25">
      <c r="A40" s="2">
        <v>46236</v>
      </c>
      <c r="B40" s="2">
        <v>46061</v>
      </c>
      <c r="C40" t="str">
        <f t="shared" si="0"/>
        <v>02</v>
      </c>
      <c r="D40" t="s">
        <v>19</v>
      </c>
      <c r="E40" t="s">
        <v>159</v>
      </c>
      <c r="F40" s="5">
        <v>175800000</v>
      </c>
      <c r="G40" s="5">
        <v>178800000</v>
      </c>
      <c r="H40" s="5">
        <f t="shared" si="1"/>
        <v>155731399.20000002</v>
      </c>
      <c r="I40" s="5">
        <f t="shared" si="2"/>
        <v>23068600.799999982</v>
      </c>
      <c r="J40" s="5">
        <v>3000000</v>
      </c>
      <c r="K40" s="5">
        <v>17580000</v>
      </c>
      <c r="L40" s="5">
        <v>17880000</v>
      </c>
      <c r="M40" s="7">
        <v>4968</v>
      </c>
      <c r="N40" s="5">
        <v>176300000</v>
      </c>
      <c r="O40" s="5">
        <v>179300000</v>
      </c>
      <c r="P40" s="3">
        <v>0</v>
      </c>
    </row>
    <row r="41" spans="1:16" x14ac:dyDescent="0.25">
      <c r="A41" s="2">
        <v>46267</v>
      </c>
      <c r="B41" s="2">
        <v>46062</v>
      </c>
      <c r="C41" t="str">
        <f t="shared" si="0"/>
        <v>02</v>
      </c>
      <c r="D41" t="s">
        <v>20</v>
      </c>
      <c r="E41" t="s">
        <v>159</v>
      </c>
      <c r="F41" s="5">
        <v>176900000</v>
      </c>
      <c r="G41" s="5">
        <v>179900000</v>
      </c>
      <c r="H41" s="5">
        <f t="shared" si="1"/>
        <v>159085517.5</v>
      </c>
      <c r="I41" s="5">
        <f t="shared" si="2"/>
        <v>20814482.5</v>
      </c>
      <c r="J41" s="5">
        <v>3000000</v>
      </c>
      <c r="K41" s="5">
        <v>17690000</v>
      </c>
      <c r="L41" s="5">
        <v>17990000</v>
      </c>
      <c r="M41" s="7">
        <v>5075</v>
      </c>
      <c r="N41" s="5">
        <v>177400000</v>
      </c>
      <c r="O41" s="5">
        <v>180400000</v>
      </c>
      <c r="P41" s="3">
        <v>0.97916666666666663</v>
      </c>
    </row>
    <row r="42" spans="1:16" x14ac:dyDescent="0.25">
      <c r="A42" s="2">
        <v>46297</v>
      </c>
      <c r="B42" s="2">
        <v>46063</v>
      </c>
      <c r="C42" t="str">
        <f t="shared" si="0"/>
        <v>02</v>
      </c>
      <c r="D42" t="s">
        <v>21</v>
      </c>
      <c r="E42" t="s">
        <v>159</v>
      </c>
      <c r="F42" s="5">
        <v>177500000</v>
      </c>
      <c r="G42" s="5">
        <v>180500000</v>
      </c>
      <c r="H42" s="5">
        <f t="shared" si="1"/>
        <v>157301878.89000005</v>
      </c>
      <c r="I42" s="5">
        <f t="shared" si="2"/>
        <v>23198121.109999955</v>
      </c>
      <c r="J42" s="5">
        <v>3000000</v>
      </c>
      <c r="K42" s="5">
        <v>17750000</v>
      </c>
      <c r="L42" s="5">
        <v>18050000</v>
      </c>
      <c r="M42" s="7">
        <v>5018.1000000000004</v>
      </c>
      <c r="N42" s="5">
        <v>178000000</v>
      </c>
      <c r="O42" s="5">
        <v>181000000</v>
      </c>
      <c r="P42" s="3">
        <v>0.97916666666666663</v>
      </c>
    </row>
    <row r="43" spans="1:16" x14ac:dyDescent="0.25">
      <c r="A43" s="2">
        <v>46328</v>
      </c>
      <c r="B43" s="2">
        <v>46064</v>
      </c>
      <c r="C43" t="str">
        <f t="shared" si="0"/>
        <v>02</v>
      </c>
      <c r="D43" t="s">
        <v>22</v>
      </c>
      <c r="E43" t="s">
        <v>159</v>
      </c>
      <c r="F43" s="5">
        <v>177500000</v>
      </c>
      <c r="G43" s="5">
        <v>180500000</v>
      </c>
      <c r="H43" s="5">
        <f t="shared" si="1"/>
        <v>158656064.97000003</v>
      </c>
      <c r="I43" s="5">
        <f t="shared" si="2"/>
        <v>21843935.029999971</v>
      </c>
      <c r="J43" s="5">
        <v>3000000</v>
      </c>
      <c r="K43" s="5">
        <v>17750000</v>
      </c>
      <c r="L43" s="5">
        <v>18050000</v>
      </c>
      <c r="M43" s="7">
        <v>5061.3</v>
      </c>
      <c r="N43" s="5">
        <v>178000000</v>
      </c>
      <c r="O43" s="5">
        <v>181000000</v>
      </c>
      <c r="P43" s="3">
        <v>0.97916666666666663</v>
      </c>
    </row>
    <row r="44" spans="1:16" x14ac:dyDescent="0.25">
      <c r="A44" s="2">
        <v>46358</v>
      </c>
      <c r="B44" s="2">
        <v>46065</v>
      </c>
      <c r="C44" t="str">
        <f t="shared" si="0"/>
        <v>02</v>
      </c>
      <c r="D44" t="s">
        <v>16</v>
      </c>
      <c r="E44" t="s">
        <v>159</v>
      </c>
      <c r="F44" s="5">
        <v>177500000</v>
      </c>
      <c r="G44" s="5">
        <v>180500000</v>
      </c>
      <c r="H44" s="5">
        <f t="shared" si="1"/>
        <v>153129606.5</v>
      </c>
      <c r="I44" s="5">
        <f t="shared" si="2"/>
        <v>27370393.5</v>
      </c>
      <c r="J44" s="5">
        <v>3000000</v>
      </c>
      <c r="K44" s="5">
        <v>17750000</v>
      </c>
      <c r="L44" s="5">
        <v>18050000</v>
      </c>
      <c r="M44" s="7">
        <v>4885</v>
      </c>
      <c r="N44" s="5">
        <v>178000000</v>
      </c>
      <c r="O44" s="5">
        <v>181000000</v>
      </c>
      <c r="P44" s="3">
        <v>0.97916666666666663</v>
      </c>
    </row>
    <row r="45" spans="1:16" x14ac:dyDescent="0.25">
      <c r="A45" t="s">
        <v>42</v>
      </c>
      <c r="B45" s="2">
        <v>46066</v>
      </c>
      <c r="C45" t="str">
        <f t="shared" si="0"/>
        <v>02</v>
      </c>
      <c r="D45" t="s">
        <v>17</v>
      </c>
      <c r="E45" t="s">
        <v>159</v>
      </c>
      <c r="F45" s="5">
        <v>175500000</v>
      </c>
      <c r="G45" s="5">
        <v>178500000</v>
      </c>
      <c r="H45" s="5">
        <f t="shared" si="1"/>
        <v>157508768.43000001</v>
      </c>
      <c r="I45" s="5">
        <f t="shared" si="2"/>
        <v>20991231.569999993</v>
      </c>
      <c r="J45" s="5">
        <v>3000000</v>
      </c>
      <c r="K45" s="5">
        <v>17550000</v>
      </c>
      <c r="L45" s="5">
        <v>17850000</v>
      </c>
      <c r="M45" s="7">
        <v>5024.7</v>
      </c>
      <c r="N45" s="5">
        <v>176000000</v>
      </c>
      <c r="O45" s="5">
        <v>179000000</v>
      </c>
      <c r="P45" s="3">
        <v>0.97916666666666663</v>
      </c>
    </row>
    <row r="46" spans="1:16" x14ac:dyDescent="0.25">
      <c r="A46" t="s">
        <v>43</v>
      </c>
      <c r="B46" s="2">
        <v>46067</v>
      </c>
      <c r="C46" t="str">
        <f t="shared" si="0"/>
        <v>02</v>
      </c>
      <c r="D46" t="s">
        <v>18</v>
      </c>
      <c r="E46" t="s">
        <v>159</v>
      </c>
      <c r="F46" s="5">
        <v>177500000</v>
      </c>
      <c r="G46" s="5">
        <v>180500000</v>
      </c>
      <c r="H46" s="5">
        <f t="shared" si="1"/>
        <v>158088686.08000001</v>
      </c>
      <c r="I46" s="5">
        <f t="shared" si="2"/>
        <v>22411313.919999987</v>
      </c>
      <c r="J46" s="5">
        <v>3000000</v>
      </c>
      <c r="K46" s="5">
        <v>17750000</v>
      </c>
      <c r="L46" s="5">
        <v>18050000</v>
      </c>
      <c r="M46" s="7">
        <v>5043.2</v>
      </c>
      <c r="N46" s="5">
        <v>178000000</v>
      </c>
      <c r="O46" s="5">
        <v>181000000</v>
      </c>
      <c r="P46" s="3">
        <v>0.39583333333333331</v>
      </c>
    </row>
    <row r="47" spans="1:16" x14ac:dyDescent="0.25">
      <c r="A47" t="s">
        <v>44</v>
      </c>
      <c r="B47" s="2">
        <v>46068</v>
      </c>
      <c r="C47" t="str">
        <f t="shared" si="0"/>
        <v>02</v>
      </c>
      <c r="D47" t="s">
        <v>19</v>
      </c>
      <c r="E47" t="s">
        <v>159</v>
      </c>
      <c r="F47" s="5">
        <v>177500000</v>
      </c>
      <c r="G47" s="5">
        <v>180500000</v>
      </c>
      <c r="H47" s="5">
        <f t="shared" si="1"/>
        <v>158088686.08000001</v>
      </c>
      <c r="I47" s="5">
        <f t="shared" si="2"/>
        <v>22411313.919999987</v>
      </c>
      <c r="J47" s="5">
        <v>3000000</v>
      </c>
      <c r="K47" s="5">
        <v>17750000</v>
      </c>
      <c r="L47" s="5">
        <v>18050000</v>
      </c>
      <c r="M47" s="7">
        <v>5043.2</v>
      </c>
      <c r="N47" s="5">
        <v>178000000</v>
      </c>
      <c r="O47" s="5">
        <v>181000000</v>
      </c>
      <c r="P47" s="3">
        <v>0</v>
      </c>
    </row>
    <row r="48" spans="1:16" x14ac:dyDescent="0.25">
      <c r="A48" t="s">
        <v>45</v>
      </c>
      <c r="B48" s="2">
        <v>46069</v>
      </c>
      <c r="C48" t="str">
        <f t="shared" si="0"/>
        <v>02</v>
      </c>
      <c r="D48" t="s">
        <v>20</v>
      </c>
      <c r="E48" t="s">
        <v>159</v>
      </c>
      <c r="F48" s="5">
        <v>177500000</v>
      </c>
      <c r="G48" s="5">
        <v>180500000</v>
      </c>
      <c r="H48" s="5">
        <f t="shared" si="1"/>
        <v>156339529.06</v>
      </c>
      <c r="I48" s="5">
        <f t="shared" si="2"/>
        <v>24160470.939999998</v>
      </c>
      <c r="J48" s="5">
        <v>3000000</v>
      </c>
      <c r="K48" s="5">
        <v>17750000</v>
      </c>
      <c r="L48" s="5">
        <v>18050000</v>
      </c>
      <c r="M48" s="7">
        <v>4987.3999999999996</v>
      </c>
      <c r="N48" s="5">
        <v>178000000</v>
      </c>
      <c r="O48" s="5">
        <v>181000000</v>
      </c>
      <c r="P48" s="3">
        <v>0.97916666666666663</v>
      </c>
    </row>
    <row r="49" spans="1:16" x14ac:dyDescent="0.25">
      <c r="A49" t="s">
        <v>46</v>
      </c>
      <c r="B49" s="2">
        <v>46070</v>
      </c>
      <c r="C49" t="str">
        <f t="shared" si="0"/>
        <v>02</v>
      </c>
      <c r="D49" t="s">
        <v>21</v>
      </c>
      <c r="E49" t="s">
        <v>159</v>
      </c>
      <c r="F49" s="5">
        <v>177500000</v>
      </c>
      <c r="G49" s="5">
        <v>180500000</v>
      </c>
      <c r="H49" s="5">
        <f t="shared" si="1"/>
        <v>153189165.60999998</v>
      </c>
      <c r="I49" s="5">
        <f t="shared" si="2"/>
        <v>27310834.390000015</v>
      </c>
      <c r="J49" s="5">
        <v>3000000</v>
      </c>
      <c r="K49" s="5">
        <v>17750000</v>
      </c>
      <c r="L49" s="5">
        <v>18050000</v>
      </c>
      <c r="M49" s="7">
        <v>4886.8999999999996</v>
      </c>
      <c r="N49" s="5">
        <v>178000000</v>
      </c>
      <c r="O49" s="5">
        <v>181000000</v>
      </c>
      <c r="P49" s="3">
        <v>0.97916666666666663</v>
      </c>
    </row>
    <row r="50" spans="1:16" x14ac:dyDescent="0.25">
      <c r="A50" t="s">
        <v>47</v>
      </c>
      <c r="B50" s="2">
        <v>46071</v>
      </c>
      <c r="C50" t="str">
        <f t="shared" si="0"/>
        <v>02</v>
      </c>
      <c r="D50" t="s">
        <v>22</v>
      </c>
      <c r="E50" t="s">
        <v>159</v>
      </c>
      <c r="F50" s="5">
        <v>177500000</v>
      </c>
      <c r="G50" s="5">
        <v>180500000</v>
      </c>
      <c r="H50" s="5">
        <f t="shared" si="1"/>
        <v>156599708.33000001</v>
      </c>
      <c r="I50" s="5">
        <f t="shared" si="2"/>
        <v>23900291.669999987</v>
      </c>
      <c r="J50" s="5">
        <v>3000000</v>
      </c>
      <c r="K50" s="5">
        <v>17750000</v>
      </c>
      <c r="L50" s="5">
        <v>18050000</v>
      </c>
      <c r="M50" s="7">
        <v>4995.7</v>
      </c>
      <c r="N50" s="5">
        <v>178000000</v>
      </c>
      <c r="O50" s="5">
        <v>181000000</v>
      </c>
      <c r="P50" s="3">
        <v>0.97916666666666663</v>
      </c>
    </row>
    <row r="51" spans="1:16" x14ac:dyDescent="0.25">
      <c r="A51" t="s">
        <v>48</v>
      </c>
      <c r="B51" s="2">
        <v>46072</v>
      </c>
      <c r="C51" t="str">
        <f t="shared" si="0"/>
        <v>02</v>
      </c>
      <c r="D51" t="s">
        <v>16</v>
      </c>
      <c r="E51" t="s">
        <v>159</v>
      </c>
      <c r="F51" s="5">
        <v>177500000</v>
      </c>
      <c r="G51" s="5">
        <v>180500000</v>
      </c>
      <c r="H51" s="5">
        <f t="shared" si="1"/>
        <v>156712557.17000002</v>
      </c>
      <c r="I51" s="5">
        <f t="shared" si="2"/>
        <v>23787442.829999983</v>
      </c>
      <c r="J51" s="5">
        <v>3000000</v>
      </c>
      <c r="K51" s="5">
        <v>17750000</v>
      </c>
      <c r="L51" s="5">
        <v>18050000</v>
      </c>
      <c r="M51" s="7">
        <v>4999.3</v>
      </c>
      <c r="N51" s="5">
        <v>178000000</v>
      </c>
      <c r="O51" s="5">
        <v>181000000</v>
      </c>
      <c r="P51" s="3">
        <v>0.97916666666666663</v>
      </c>
    </row>
    <row r="52" spans="1:16" x14ac:dyDescent="0.25">
      <c r="A52" t="s">
        <v>49</v>
      </c>
      <c r="B52" s="2">
        <v>46073</v>
      </c>
      <c r="C52" t="str">
        <f t="shared" si="0"/>
        <v>02</v>
      </c>
      <c r="D52" t="s">
        <v>17</v>
      </c>
      <c r="E52" t="s">
        <v>159</v>
      </c>
      <c r="F52" s="5">
        <v>177500000</v>
      </c>
      <c r="G52" s="5">
        <v>180500000</v>
      </c>
      <c r="H52" s="5">
        <f t="shared" si="1"/>
        <v>158399020.39000005</v>
      </c>
      <c r="I52" s="5">
        <f t="shared" si="2"/>
        <v>22100979.609999955</v>
      </c>
      <c r="J52" s="5">
        <v>3000000</v>
      </c>
      <c r="K52" s="5">
        <v>17750000</v>
      </c>
      <c r="L52" s="5">
        <v>18050000</v>
      </c>
      <c r="M52" s="7">
        <v>5053.1000000000004</v>
      </c>
      <c r="N52" s="5">
        <v>178000000</v>
      </c>
      <c r="O52" s="5">
        <v>181000000</v>
      </c>
      <c r="P52" s="3">
        <v>0.97916666666666663</v>
      </c>
    </row>
    <row r="53" spans="1:16" x14ac:dyDescent="0.25">
      <c r="A53" t="s">
        <v>50</v>
      </c>
      <c r="B53" s="2">
        <v>46074</v>
      </c>
      <c r="C53" t="str">
        <f t="shared" si="0"/>
        <v>02</v>
      </c>
      <c r="D53" t="s">
        <v>18</v>
      </c>
      <c r="E53" t="s">
        <v>159</v>
      </c>
      <c r="F53" s="5">
        <v>177500000</v>
      </c>
      <c r="G53" s="5">
        <v>180500000</v>
      </c>
      <c r="H53" s="5">
        <f t="shared" si="1"/>
        <v>160116830.50999999</v>
      </c>
      <c r="I53" s="5">
        <f t="shared" si="2"/>
        <v>20383169.49000001</v>
      </c>
      <c r="J53" s="5">
        <v>3000000</v>
      </c>
      <c r="K53" s="5">
        <v>17750000</v>
      </c>
      <c r="L53" s="5">
        <v>18050000</v>
      </c>
      <c r="M53" s="7">
        <v>5107.8999999999996</v>
      </c>
      <c r="N53" s="5">
        <v>178000000</v>
      </c>
      <c r="O53" s="5">
        <v>181000000</v>
      </c>
      <c r="P53" s="3">
        <v>0.22916666666666666</v>
      </c>
    </row>
    <row r="54" spans="1:16" x14ac:dyDescent="0.25">
      <c r="A54" t="s">
        <v>51</v>
      </c>
      <c r="B54" s="2">
        <v>46075</v>
      </c>
      <c r="C54" t="str">
        <f t="shared" si="0"/>
        <v>02</v>
      </c>
      <c r="D54" t="s">
        <v>19</v>
      </c>
      <c r="E54" t="s">
        <v>159</v>
      </c>
      <c r="F54" s="5">
        <v>177500000</v>
      </c>
      <c r="G54" s="5">
        <v>180500000</v>
      </c>
      <c r="H54" s="5">
        <f t="shared" si="1"/>
        <v>160116830.50999999</v>
      </c>
      <c r="I54" s="5">
        <f t="shared" si="2"/>
        <v>20383169.49000001</v>
      </c>
      <c r="J54" s="5">
        <v>3000000</v>
      </c>
      <c r="K54" s="5">
        <v>17750000</v>
      </c>
      <c r="L54" s="5">
        <v>18050000</v>
      </c>
      <c r="M54" s="7">
        <v>5107.8999999999996</v>
      </c>
      <c r="N54" s="5">
        <v>178000000</v>
      </c>
      <c r="O54" s="5">
        <v>181000000</v>
      </c>
      <c r="P54" s="3">
        <v>0.41666666666666669</v>
      </c>
    </row>
    <row r="55" spans="1:16" x14ac:dyDescent="0.25">
      <c r="A55" t="s">
        <v>52</v>
      </c>
      <c r="B55" s="2">
        <v>46076</v>
      </c>
      <c r="C55" t="str">
        <f t="shared" si="0"/>
        <v>02</v>
      </c>
      <c r="D55" t="s">
        <v>20</v>
      </c>
      <c r="E55" t="s">
        <v>159</v>
      </c>
      <c r="F55" s="5">
        <v>181100000</v>
      </c>
      <c r="G55" s="5">
        <v>184100000</v>
      </c>
      <c r="H55" s="5">
        <f t="shared" si="1"/>
        <v>163549316.06</v>
      </c>
      <c r="I55" s="5">
        <f t="shared" si="2"/>
        <v>20550683.939999998</v>
      </c>
      <c r="J55" s="5">
        <v>3000000</v>
      </c>
      <c r="K55" s="5">
        <v>18110000</v>
      </c>
      <c r="L55" s="5">
        <v>18410000</v>
      </c>
      <c r="M55" s="7">
        <v>5217.3999999999996</v>
      </c>
      <c r="N55" s="5">
        <v>181600000</v>
      </c>
      <c r="O55" s="5">
        <v>184600000</v>
      </c>
      <c r="P55" s="3">
        <v>0.97916666666666663</v>
      </c>
    </row>
    <row r="56" spans="1:16" x14ac:dyDescent="0.25">
      <c r="A56" t="s">
        <v>53</v>
      </c>
      <c r="B56" s="2">
        <v>46077</v>
      </c>
      <c r="C56" t="str">
        <f t="shared" si="0"/>
        <v>02</v>
      </c>
      <c r="D56" t="s">
        <v>21</v>
      </c>
      <c r="E56" t="s">
        <v>159</v>
      </c>
      <c r="F56" s="5">
        <v>181100000</v>
      </c>
      <c r="G56" s="5">
        <v>184100000</v>
      </c>
      <c r="H56" s="5">
        <f t="shared" si="1"/>
        <v>161264127.05000001</v>
      </c>
      <c r="I56" s="5">
        <f t="shared" si="2"/>
        <v>22835872.949999988</v>
      </c>
      <c r="J56" s="5">
        <v>3000000</v>
      </c>
      <c r="K56" s="5">
        <v>18110000</v>
      </c>
      <c r="L56" s="5">
        <v>18410000</v>
      </c>
      <c r="M56" s="7">
        <v>5144.5</v>
      </c>
      <c r="N56" s="5">
        <v>181600000</v>
      </c>
      <c r="O56" s="5">
        <v>184600000</v>
      </c>
      <c r="P56" s="3">
        <v>0.97916666666666663</v>
      </c>
    </row>
    <row r="57" spans="1:16" x14ac:dyDescent="0.25">
      <c r="A57" t="s">
        <v>54</v>
      </c>
      <c r="B57" s="2">
        <v>46078</v>
      </c>
      <c r="C57" t="str">
        <f t="shared" si="0"/>
        <v>02</v>
      </c>
      <c r="D57" t="s">
        <v>22</v>
      </c>
      <c r="E57" t="s">
        <v>159</v>
      </c>
      <c r="F57" s="5">
        <v>181800000</v>
      </c>
      <c r="G57" s="5">
        <v>184800000</v>
      </c>
      <c r="H57" s="5">
        <f t="shared" si="1"/>
        <v>163113594.15000001</v>
      </c>
      <c r="I57" s="5">
        <f t="shared" si="2"/>
        <v>21686405.849999994</v>
      </c>
      <c r="J57" s="5">
        <v>3000000</v>
      </c>
      <c r="K57" s="5">
        <v>18180000</v>
      </c>
      <c r="L57" s="5">
        <v>18480000</v>
      </c>
      <c r="M57" s="7">
        <v>5203.5</v>
      </c>
      <c r="N57" s="5">
        <v>182300000</v>
      </c>
      <c r="O57" s="5">
        <v>185300000</v>
      </c>
      <c r="P57" s="3">
        <v>0.97916666666666663</v>
      </c>
    </row>
    <row r="58" spans="1:16" x14ac:dyDescent="0.25">
      <c r="A58" t="s">
        <v>55</v>
      </c>
      <c r="B58" s="2">
        <v>46079</v>
      </c>
      <c r="C58" t="str">
        <f t="shared" si="0"/>
        <v>02</v>
      </c>
      <c r="D58" t="s">
        <v>16</v>
      </c>
      <c r="E58" t="s">
        <v>159</v>
      </c>
      <c r="F58" s="5">
        <v>181000000</v>
      </c>
      <c r="G58" s="5">
        <v>184000000</v>
      </c>
      <c r="H58" s="5">
        <f t="shared" si="1"/>
        <v>162414558.28</v>
      </c>
      <c r="I58" s="5">
        <f t="shared" si="2"/>
        <v>21585441.719999999</v>
      </c>
      <c r="J58" s="5">
        <v>3000000</v>
      </c>
      <c r="K58" s="5">
        <v>18100000</v>
      </c>
      <c r="L58" s="5">
        <v>18400000</v>
      </c>
      <c r="M58" s="7">
        <v>5181.2</v>
      </c>
      <c r="N58" s="5">
        <v>181000000</v>
      </c>
      <c r="O58" s="5">
        <v>184000000</v>
      </c>
      <c r="P58" s="3">
        <v>0.97916666666666663</v>
      </c>
    </row>
    <row r="59" spans="1:16" x14ac:dyDescent="0.25">
      <c r="A59" t="s">
        <v>56</v>
      </c>
      <c r="B59" s="2">
        <v>46080</v>
      </c>
      <c r="C59" t="str">
        <f t="shared" si="0"/>
        <v>02</v>
      </c>
      <c r="D59" t="s">
        <v>17</v>
      </c>
      <c r="E59" t="s">
        <v>159</v>
      </c>
      <c r="F59" s="5">
        <v>180800000</v>
      </c>
      <c r="G59" s="5">
        <v>183800000</v>
      </c>
      <c r="H59" s="5">
        <f t="shared" si="1"/>
        <v>164116694.95000002</v>
      </c>
      <c r="I59" s="5">
        <f t="shared" si="2"/>
        <v>19683305.049999982</v>
      </c>
      <c r="J59" s="5">
        <v>3000000</v>
      </c>
      <c r="K59" s="5">
        <v>18080000</v>
      </c>
      <c r="L59" s="5">
        <v>18380000</v>
      </c>
      <c r="M59" s="7">
        <v>5235.5</v>
      </c>
      <c r="N59" s="5">
        <v>181000000</v>
      </c>
      <c r="O59" s="5">
        <v>184000000</v>
      </c>
      <c r="P59" s="3">
        <v>0.97916666666666663</v>
      </c>
    </row>
    <row r="60" spans="1:16" x14ac:dyDescent="0.25">
      <c r="A60" t="s">
        <v>57</v>
      </c>
      <c r="B60" s="2">
        <v>46081</v>
      </c>
      <c r="C60" t="str">
        <f t="shared" si="0"/>
        <v>02</v>
      </c>
      <c r="D60" t="s">
        <v>18</v>
      </c>
      <c r="E60" t="s">
        <v>159</v>
      </c>
      <c r="F60" s="5">
        <v>183800000</v>
      </c>
      <c r="G60" s="5">
        <v>186800000</v>
      </c>
      <c r="H60" s="5">
        <f t="shared" si="1"/>
        <v>165517901.38000003</v>
      </c>
      <c r="I60" s="5">
        <f t="shared" si="2"/>
        <v>21282098.619999975</v>
      </c>
      <c r="J60" s="5">
        <v>3000000</v>
      </c>
      <c r="K60" s="5">
        <v>18380000</v>
      </c>
      <c r="L60" s="5">
        <v>18680000</v>
      </c>
      <c r="M60" s="7">
        <v>5280.2</v>
      </c>
      <c r="N60" s="5">
        <v>184000000</v>
      </c>
      <c r="O60" s="5">
        <v>187000000</v>
      </c>
      <c r="P60" s="3">
        <v>0.39583333333333331</v>
      </c>
    </row>
    <row r="61" spans="1:16" x14ac:dyDescent="0.25">
      <c r="A61" s="2">
        <v>46025</v>
      </c>
      <c r="B61" s="2">
        <v>46082</v>
      </c>
      <c r="C61" t="str">
        <f t="shared" si="0"/>
        <v>03</v>
      </c>
      <c r="D61" t="s">
        <v>19</v>
      </c>
      <c r="E61" t="s">
        <v>159</v>
      </c>
      <c r="F61" s="5">
        <v>183800000</v>
      </c>
      <c r="G61" s="5">
        <v>186800000</v>
      </c>
      <c r="H61" s="5">
        <f t="shared" si="1"/>
        <v>165517901.38000003</v>
      </c>
      <c r="I61" s="5">
        <f t="shared" si="2"/>
        <v>21282098.619999975</v>
      </c>
      <c r="J61" s="5">
        <v>3000000</v>
      </c>
      <c r="K61" s="5">
        <v>18380000</v>
      </c>
      <c r="L61" s="5">
        <v>18680000</v>
      </c>
      <c r="M61" s="7">
        <v>5280.2</v>
      </c>
      <c r="N61" s="5">
        <v>184000000</v>
      </c>
      <c r="O61" s="5">
        <v>187000000</v>
      </c>
      <c r="P61" s="3">
        <v>0.41666666666666669</v>
      </c>
    </row>
    <row r="62" spans="1:16" x14ac:dyDescent="0.25">
      <c r="A62" s="2">
        <v>46056</v>
      </c>
      <c r="B62" s="2">
        <v>46083</v>
      </c>
      <c r="C62" t="str">
        <f t="shared" si="0"/>
        <v>03</v>
      </c>
      <c r="D62" t="s">
        <v>20</v>
      </c>
      <c r="E62" t="s">
        <v>159</v>
      </c>
      <c r="F62" s="5">
        <v>186400000</v>
      </c>
      <c r="G62" s="5">
        <v>189400000</v>
      </c>
      <c r="H62" s="5">
        <f t="shared" si="1"/>
        <v>166420692.10000002</v>
      </c>
      <c r="I62" s="5">
        <f t="shared" si="2"/>
        <v>22979307.899999976</v>
      </c>
      <c r="J62" s="5">
        <v>3000000</v>
      </c>
      <c r="K62" s="5">
        <v>18640000</v>
      </c>
      <c r="L62" s="5">
        <v>18940000</v>
      </c>
      <c r="M62" s="7">
        <v>5309</v>
      </c>
      <c r="N62" s="5">
        <v>187900000</v>
      </c>
      <c r="O62" s="5">
        <v>190900000</v>
      </c>
      <c r="P62" s="3">
        <v>0.97916666666666663</v>
      </c>
    </row>
    <row r="63" spans="1:16" x14ac:dyDescent="0.25">
      <c r="A63" s="2">
        <v>46084</v>
      </c>
      <c r="B63" s="2">
        <v>46084</v>
      </c>
      <c r="C63" t="str">
        <f t="shared" si="0"/>
        <v>03</v>
      </c>
      <c r="D63" t="s">
        <v>21</v>
      </c>
      <c r="E63" t="s">
        <v>159</v>
      </c>
      <c r="F63" s="5">
        <v>184900000</v>
      </c>
      <c r="G63" s="5">
        <v>187900000</v>
      </c>
      <c r="H63" s="5">
        <f t="shared" si="1"/>
        <v>160430299.50999999</v>
      </c>
      <c r="I63" s="5">
        <f t="shared" si="2"/>
        <v>27469700.49000001</v>
      </c>
      <c r="J63" s="5">
        <v>3000000</v>
      </c>
      <c r="K63" s="5">
        <v>18490000</v>
      </c>
      <c r="L63" s="5">
        <v>18790000</v>
      </c>
      <c r="M63" s="7">
        <v>5117.8999999999996</v>
      </c>
      <c r="N63" s="5">
        <v>185200000</v>
      </c>
      <c r="O63" s="5">
        <v>188200000</v>
      </c>
      <c r="P63" s="3">
        <v>0.97916666666666663</v>
      </c>
    </row>
    <row r="64" spans="1:16" x14ac:dyDescent="0.25">
      <c r="A64" s="2">
        <v>46115</v>
      </c>
      <c r="B64" s="2">
        <v>46085</v>
      </c>
      <c r="C64" t="str">
        <f t="shared" si="0"/>
        <v>03</v>
      </c>
      <c r="D64" t="s">
        <v>22</v>
      </c>
      <c r="E64" t="s">
        <v>159</v>
      </c>
      <c r="F64" s="5">
        <v>180900000</v>
      </c>
      <c r="G64" s="5">
        <v>183900000</v>
      </c>
      <c r="H64" s="5">
        <f t="shared" si="1"/>
        <v>161474151.28</v>
      </c>
      <c r="I64" s="5">
        <f t="shared" si="2"/>
        <v>22425848.719999999</v>
      </c>
      <c r="J64" s="5">
        <v>3000000</v>
      </c>
      <c r="K64" s="5">
        <v>18090000</v>
      </c>
      <c r="L64" s="5">
        <v>18390000</v>
      </c>
      <c r="M64" s="7">
        <v>5151.2</v>
      </c>
      <c r="N64" s="5">
        <v>181200000</v>
      </c>
      <c r="O64" s="5">
        <v>184200000</v>
      </c>
      <c r="P64" s="3">
        <v>0.97916666666666663</v>
      </c>
    </row>
    <row r="65" spans="1:16" x14ac:dyDescent="0.25">
      <c r="A65" s="2">
        <v>46145</v>
      </c>
      <c r="B65" s="2">
        <v>46086</v>
      </c>
      <c r="C65" t="str">
        <f t="shared" si="0"/>
        <v>03</v>
      </c>
      <c r="D65" t="s">
        <v>16</v>
      </c>
      <c r="E65" t="s">
        <v>159</v>
      </c>
      <c r="F65" s="5">
        <v>181400000</v>
      </c>
      <c r="G65" s="5">
        <v>184400000</v>
      </c>
      <c r="H65" s="5">
        <f t="shared" si="1"/>
        <v>158956995.21000001</v>
      </c>
      <c r="I65" s="5">
        <f t="shared" si="2"/>
        <v>25443004.789999992</v>
      </c>
      <c r="J65" s="5">
        <v>3000000</v>
      </c>
      <c r="K65" s="5">
        <v>18140000</v>
      </c>
      <c r="L65" s="5">
        <v>18440000</v>
      </c>
      <c r="M65" s="7">
        <v>5070.8999999999996</v>
      </c>
      <c r="N65" s="5">
        <v>181700000</v>
      </c>
      <c r="O65" s="5">
        <v>184700000</v>
      </c>
      <c r="P65" s="3">
        <v>0.97916666666666663</v>
      </c>
    </row>
    <row r="66" spans="1:16" x14ac:dyDescent="0.25">
      <c r="A66" s="2">
        <v>46176</v>
      </c>
      <c r="B66" s="2">
        <v>46087</v>
      </c>
      <c r="C66" t="str">
        <f t="shared" ref="C66:C129" si="3">TEXT(B66,"mm")</f>
        <v>03</v>
      </c>
      <c r="D66" t="s">
        <v>17</v>
      </c>
      <c r="E66" t="s">
        <v>159</v>
      </c>
      <c r="F66" s="5">
        <v>180500000</v>
      </c>
      <c r="G66" s="5">
        <v>183500000</v>
      </c>
      <c r="H66" s="5">
        <f t="shared" ref="H66:H129" si="4">M66*26000*1.20565</f>
        <v>161220241.39000005</v>
      </c>
      <c r="I66" s="5">
        <f t="shared" ref="I66:I129" si="5">G66-H66</f>
        <v>22279758.609999955</v>
      </c>
      <c r="J66" s="5">
        <v>3000000</v>
      </c>
      <c r="K66" s="5">
        <v>18050000</v>
      </c>
      <c r="L66" s="5">
        <v>18350000</v>
      </c>
      <c r="M66" s="7">
        <v>5143.1000000000004</v>
      </c>
      <c r="N66" s="5">
        <v>180800000</v>
      </c>
      <c r="O66" s="5">
        <v>183800000</v>
      </c>
      <c r="P66" s="3">
        <v>0.97916666666666663</v>
      </c>
    </row>
    <row r="67" spans="1:16" x14ac:dyDescent="0.25">
      <c r="A67" s="2">
        <v>46206</v>
      </c>
      <c r="B67" s="2">
        <v>46088</v>
      </c>
      <c r="C67" t="str">
        <f t="shared" si="3"/>
        <v>03</v>
      </c>
      <c r="D67" t="s">
        <v>18</v>
      </c>
      <c r="E67" t="s">
        <v>159</v>
      </c>
      <c r="F67" s="5">
        <v>181700000</v>
      </c>
      <c r="G67" s="5">
        <v>184700000</v>
      </c>
      <c r="H67" s="5">
        <f t="shared" si="4"/>
        <v>162188860.60000002</v>
      </c>
      <c r="I67" s="5">
        <f t="shared" si="5"/>
        <v>22511139.399999976</v>
      </c>
      <c r="J67" s="5">
        <v>3000000</v>
      </c>
      <c r="K67" s="5">
        <v>18170000</v>
      </c>
      <c r="L67" s="5">
        <v>18470000</v>
      </c>
      <c r="M67" s="7">
        <v>5174</v>
      </c>
      <c r="N67" s="5">
        <v>182000000</v>
      </c>
      <c r="O67" s="5">
        <v>185000000</v>
      </c>
      <c r="P67" s="3">
        <v>0.39583333333333331</v>
      </c>
    </row>
    <row r="68" spans="1:16" x14ac:dyDescent="0.25">
      <c r="A68" s="2">
        <v>46237</v>
      </c>
      <c r="B68" s="2">
        <v>46089</v>
      </c>
      <c r="C68" t="str">
        <f t="shared" si="3"/>
        <v>03</v>
      </c>
      <c r="D68" t="s">
        <v>19</v>
      </c>
      <c r="E68" t="s">
        <v>159</v>
      </c>
      <c r="F68" s="5">
        <v>181700000</v>
      </c>
      <c r="G68" s="5">
        <v>184700000</v>
      </c>
      <c r="H68" s="5">
        <f t="shared" si="4"/>
        <v>162188860.60000002</v>
      </c>
      <c r="I68" s="5">
        <f t="shared" si="5"/>
        <v>22511139.399999976</v>
      </c>
      <c r="J68" s="5">
        <v>3000000</v>
      </c>
      <c r="K68" s="5">
        <v>18170000</v>
      </c>
      <c r="L68" s="5">
        <v>18470000</v>
      </c>
      <c r="M68" s="7">
        <v>5174</v>
      </c>
      <c r="N68" s="5">
        <v>182000000</v>
      </c>
      <c r="O68" s="5">
        <v>185000000</v>
      </c>
      <c r="P68" s="3">
        <v>0</v>
      </c>
    </row>
    <row r="69" spans="1:16" x14ac:dyDescent="0.25">
      <c r="A69" s="2">
        <v>46268</v>
      </c>
      <c r="B69" s="2">
        <v>46090</v>
      </c>
      <c r="C69" t="str">
        <f t="shared" si="3"/>
        <v>03</v>
      </c>
      <c r="D69" t="s">
        <v>20</v>
      </c>
      <c r="E69" t="s">
        <v>159</v>
      </c>
      <c r="F69" s="5">
        <v>180800000</v>
      </c>
      <c r="G69" s="5">
        <v>183800000</v>
      </c>
      <c r="H69" s="5">
        <f t="shared" si="4"/>
        <v>160035328.57000002</v>
      </c>
      <c r="I69" s="5">
        <f t="shared" si="5"/>
        <v>23764671.429999977</v>
      </c>
      <c r="J69" s="5">
        <v>3000000</v>
      </c>
      <c r="K69" s="5">
        <v>18080000</v>
      </c>
      <c r="L69" s="5">
        <v>18380000</v>
      </c>
      <c r="M69" s="7">
        <v>5105.3</v>
      </c>
      <c r="N69" s="5">
        <v>181100000</v>
      </c>
      <c r="O69" s="5">
        <v>184100000</v>
      </c>
      <c r="P69" s="3">
        <v>0.97916666666666663</v>
      </c>
    </row>
    <row r="70" spans="1:16" x14ac:dyDescent="0.25">
      <c r="A70" s="2">
        <v>46298</v>
      </c>
      <c r="B70" s="2">
        <v>46091</v>
      </c>
      <c r="C70" t="str">
        <f t="shared" si="3"/>
        <v>03</v>
      </c>
      <c r="D70" t="s">
        <v>21</v>
      </c>
      <c r="E70" t="s">
        <v>159</v>
      </c>
      <c r="F70" s="5">
        <v>182800000</v>
      </c>
      <c r="G70" s="5">
        <v>185800000</v>
      </c>
      <c r="H70" s="5">
        <f t="shared" si="4"/>
        <v>164075943.98000002</v>
      </c>
      <c r="I70" s="5">
        <f t="shared" si="5"/>
        <v>21724056.019999981</v>
      </c>
      <c r="J70" s="5">
        <v>3000000</v>
      </c>
      <c r="K70" s="5">
        <v>18280000</v>
      </c>
      <c r="L70" s="5">
        <v>18580000</v>
      </c>
      <c r="M70" s="7">
        <v>5234.2</v>
      </c>
      <c r="N70" s="5">
        <v>183100000</v>
      </c>
      <c r="O70" s="5">
        <v>186100000</v>
      </c>
      <c r="P70" s="3">
        <v>0.97916666666666663</v>
      </c>
    </row>
    <row r="71" spans="1:16" x14ac:dyDescent="0.25">
      <c r="A71" s="2">
        <v>46329</v>
      </c>
      <c r="B71" s="2">
        <v>46092</v>
      </c>
      <c r="C71" t="str">
        <f t="shared" si="3"/>
        <v>03</v>
      </c>
      <c r="D71" t="s">
        <v>22</v>
      </c>
      <c r="E71" t="s">
        <v>159</v>
      </c>
      <c r="F71" s="5">
        <v>183900000</v>
      </c>
      <c r="G71" s="5">
        <v>186900000</v>
      </c>
      <c r="H71" s="5">
        <f t="shared" si="4"/>
        <v>162032126.10000002</v>
      </c>
      <c r="I71" s="5">
        <f t="shared" si="5"/>
        <v>24867873.899999976</v>
      </c>
      <c r="J71" s="5">
        <v>3000000</v>
      </c>
      <c r="K71" s="5">
        <v>18390000</v>
      </c>
      <c r="L71" s="5">
        <v>18690000</v>
      </c>
      <c r="M71" s="7">
        <v>5169</v>
      </c>
      <c r="N71" s="5">
        <v>184200000</v>
      </c>
      <c r="O71" s="5">
        <v>187200000</v>
      </c>
      <c r="P71" s="3">
        <v>0.97916666666666663</v>
      </c>
    </row>
    <row r="72" spans="1:16" x14ac:dyDescent="0.25">
      <c r="A72" s="2">
        <v>46359</v>
      </c>
      <c r="B72" s="2">
        <v>46093</v>
      </c>
      <c r="C72" t="str">
        <f t="shared" si="3"/>
        <v>03</v>
      </c>
      <c r="D72" t="s">
        <v>16</v>
      </c>
      <c r="E72" t="s">
        <v>159</v>
      </c>
      <c r="F72" s="5">
        <v>183000000</v>
      </c>
      <c r="G72" s="5">
        <v>186000000</v>
      </c>
      <c r="H72" s="5">
        <f t="shared" si="4"/>
        <v>160969466.19000003</v>
      </c>
      <c r="I72" s="5">
        <f t="shared" si="5"/>
        <v>25030533.809999973</v>
      </c>
      <c r="J72" s="5">
        <v>3000000</v>
      </c>
      <c r="K72" s="5">
        <v>18300000</v>
      </c>
      <c r="L72" s="5">
        <v>18600000</v>
      </c>
      <c r="M72" s="7">
        <v>5135.1000000000004</v>
      </c>
      <c r="N72" s="5">
        <v>183300000</v>
      </c>
      <c r="O72" s="5">
        <v>186300000</v>
      </c>
      <c r="P72" s="3">
        <v>0.97916666666666663</v>
      </c>
    </row>
    <row r="73" spans="1:16" x14ac:dyDescent="0.25">
      <c r="A73" t="s">
        <v>58</v>
      </c>
      <c r="B73" s="2">
        <v>46094</v>
      </c>
      <c r="C73" t="str">
        <f t="shared" si="3"/>
        <v>03</v>
      </c>
      <c r="D73" t="s">
        <v>17</v>
      </c>
      <c r="E73" t="s">
        <v>159</v>
      </c>
      <c r="F73" s="5">
        <v>181500000</v>
      </c>
      <c r="G73" s="5">
        <v>184500000</v>
      </c>
      <c r="H73" s="5">
        <f t="shared" si="4"/>
        <v>157935086.27000001</v>
      </c>
      <c r="I73" s="5">
        <f t="shared" si="5"/>
        <v>26564913.729999989</v>
      </c>
      <c r="J73" s="5">
        <v>3000000</v>
      </c>
      <c r="K73" s="5">
        <v>18150000</v>
      </c>
      <c r="L73" s="5">
        <v>18450000</v>
      </c>
      <c r="M73" s="7">
        <v>5038.3</v>
      </c>
      <c r="N73" s="5">
        <v>181800000</v>
      </c>
      <c r="O73" s="5">
        <v>184800000</v>
      </c>
      <c r="P73" s="3">
        <v>0.97916666666666663</v>
      </c>
    </row>
    <row r="74" spans="1:16" x14ac:dyDescent="0.25">
      <c r="A74" t="s">
        <v>59</v>
      </c>
      <c r="B74" s="2">
        <v>46095</v>
      </c>
      <c r="C74" t="str">
        <f t="shared" si="3"/>
        <v>03</v>
      </c>
      <c r="D74" t="s">
        <v>18</v>
      </c>
      <c r="E74" t="s">
        <v>159</v>
      </c>
      <c r="F74" s="5">
        <v>179300000</v>
      </c>
      <c r="G74" s="5">
        <v>182300000</v>
      </c>
      <c r="H74" s="5">
        <f t="shared" si="4"/>
        <v>157352033.93000001</v>
      </c>
      <c r="I74" s="5">
        <f t="shared" si="5"/>
        <v>24947966.069999993</v>
      </c>
      <c r="J74" s="5">
        <v>3000000</v>
      </c>
      <c r="K74" s="5">
        <v>17930000</v>
      </c>
      <c r="L74" s="5">
        <v>18230000</v>
      </c>
      <c r="M74" s="7">
        <v>5019.7</v>
      </c>
      <c r="N74" s="5">
        <v>179600000</v>
      </c>
      <c r="O74" s="5">
        <v>182600000</v>
      </c>
      <c r="P74" s="3">
        <v>0.5</v>
      </c>
    </row>
    <row r="75" spans="1:16" x14ac:dyDescent="0.25">
      <c r="A75" t="s">
        <v>60</v>
      </c>
      <c r="B75" s="2">
        <v>46096</v>
      </c>
      <c r="C75" t="str">
        <f t="shared" si="3"/>
        <v>03</v>
      </c>
      <c r="D75" t="s">
        <v>19</v>
      </c>
      <c r="E75" t="s">
        <v>159</v>
      </c>
      <c r="F75" s="5">
        <v>179300000</v>
      </c>
      <c r="G75" s="5">
        <v>182300000</v>
      </c>
      <c r="H75" s="5">
        <f t="shared" si="4"/>
        <v>157352033.93000001</v>
      </c>
      <c r="I75" s="5">
        <f t="shared" si="5"/>
        <v>24947966.069999993</v>
      </c>
      <c r="J75" s="5">
        <v>3000000</v>
      </c>
      <c r="K75" s="5">
        <v>17930000</v>
      </c>
      <c r="L75" s="5">
        <v>18230000</v>
      </c>
      <c r="M75" s="7">
        <v>5019.7</v>
      </c>
      <c r="N75" s="5">
        <v>179600000</v>
      </c>
      <c r="O75" s="5">
        <v>182600000</v>
      </c>
      <c r="P75" s="3">
        <v>0</v>
      </c>
    </row>
    <row r="76" spans="1:16" x14ac:dyDescent="0.25">
      <c r="A76" t="s">
        <v>61</v>
      </c>
      <c r="B76" s="2">
        <v>46097</v>
      </c>
      <c r="C76" t="str">
        <f t="shared" si="3"/>
        <v>03</v>
      </c>
      <c r="D76" t="s">
        <v>20</v>
      </c>
      <c r="E76" t="s">
        <v>159</v>
      </c>
      <c r="F76" s="5">
        <v>179800000</v>
      </c>
      <c r="G76" s="5">
        <v>182800000</v>
      </c>
      <c r="H76" s="5">
        <f t="shared" si="4"/>
        <v>156138908.90000001</v>
      </c>
      <c r="I76" s="5">
        <f t="shared" si="5"/>
        <v>26661091.099999994</v>
      </c>
      <c r="J76" s="5">
        <v>3000000</v>
      </c>
      <c r="K76" s="5">
        <v>17980000</v>
      </c>
      <c r="L76" s="5">
        <v>18280000</v>
      </c>
      <c r="M76" s="7">
        <v>4981</v>
      </c>
      <c r="N76" s="5">
        <v>180100000</v>
      </c>
      <c r="O76" s="5">
        <v>183100000</v>
      </c>
      <c r="P76" s="3">
        <v>0.97916666666666663</v>
      </c>
    </row>
    <row r="77" spans="1:16" x14ac:dyDescent="0.25">
      <c r="A77" t="s">
        <v>62</v>
      </c>
      <c r="B77" s="2">
        <v>46098</v>
      </c>
      <c r="C77" t="str">
        <f t="shared" si="3"/>
        <v>03</v>
      </c>
      <c r="D77" t="s">
        <v>21</v>
      </c>
      <c r="E77" t="s">
        <v>159</v>
      </c>
      <c r="F77" s="5">
        <v>179700000</v>
      </c>
      <c r="G77" s="5">
        <v>182700000</v>
      </c>
      <c r="H77" s="5">
        <f t="shared" si="4"/>
        <v>156847348.84000003</v>
      </c>
      <c r="I77" s="5">
        <f t="shared" si="5"/>
        <v>25852651.159999967</v>
      </c>
      <c r="J77" s="5">
        <v>3000000</v>
      </c>
      <c r="K77" s="5">
        <v>17970000</v>
      </c>
      <c r="L77" s="5">
        <v>18270000</v>
      </c>
      <c r="M77" s="7">
        <v>5003.6000000000004</v>
      </c>
      <c r="N77" s="5">
        <v>180000000</v>
      </c>
      <c r="O77" s="5">
        <v>183000000</v>
      </c>
      <c r="P77" s="3">
        <v>0.97916666666666663</v>
      </c>
    </row>
    <row r="78" spans="1:16" x14ac:dyDescent="0.25">
      <c r="A78" t="s">
        <v>63</v>
      </c>
      <c r="B78" s="2">
        <v>46099</v>
      </c>
      <c r="C78" t="str">
        <f t="shared" si="3"/>
        <v>03</v>
      </c>
      <c r="D78" t="s">
        <v>22</v>
      </c>
      <c r="E78" t="s">
        <v>159</v>
      </c>
      <c r="F78" s="5">
        <v>179700000</v>
      </c>
      <c r="G78" s="5">
        <v>182700000</v>
      </c>
      <c r="H78" s="5">
        <f t="shared" si="4"/>
        <v>153023027.04000002</v>
      </c>
      <c r="I78" s="5">
        <f t="shared" si="5"/>
        <v>29676972.959999979</v>
      </c>
      <c r="J78" s="5">
        <v>3000000</v>
      </c>
      <c r="K78" s="5">
        <v>17970000</v>
      </c>
      <c r="L78" s="5">
        <v>18270000</v>
      </c>
      <c r="M78" s="7">
        <v>4881.6000000000004</v>
      </c>
      <c r="N78" s="5">
        <v>180000000</v>
      </c>
      <c r="O78" s="5">
        <v>183000000</v>
      </c>
      <c r="P78" s="3">
        <v>0.97916666666666663</v>
      </c>
    </row>
    <row r="79" spans="1:16" x14ac:dyDescent="0.25">
      <c r="A79" t="s">
        <v>64</v>
      </c>
      <c r="B79" s="2">
        <v>46100</v>
      </c>
      <c r="C79" t="str">
        <f t="shared" si="3"/>
        <v>03</v>
      </c>
      <c r="D79" t="s">
        <v>16</v>
      </c>
      <c r="E79" t="s">
        <v>159</v>
      </c>
      <c r="F79" s="5">
        <v>172200000</v>
      </c>
      <c r="G79" s="5">
        <v>175200000</v>
      </c>
      <c r="H79" s="5">
        <f t="shared" si="4"/>
        <v>144267837.87</v>
      </c>
      <c r="I79" s="5">
        <f t="shared" si="5"/>
        <v>30932162.129999995</v>
      </c>
      <c r="J79" s="5">
        <v>3000000</v>
      </c>
      <c r="K79" s="5">
        <v>17220000</v>
      </c>
      <c r="L79" s="5">
        <v>17520000</v>
      </c>
      <c r="M79" s="7">
        <v>4602.3</v>
      </c>
      <c r="N79" s="5">
        <v>172500000</v>
      </c>
      <c r="O79" s="5">
        <v>175500000</v>
      </c>
      <c r="P79" s="3">
        <v>0.97916666666666663</v>
      </c>
    </row>
    <row r="80" spans="1:16" x14ac:dyDescent="0.25">
      <c r="A80" t="s">
        <v>65</v>
      </c>
      <c r="B80" s="2">
        <v>46101</v>
      </c>
      <c r="C80" t="str">
        <f t="shared" si="3"/>
        <v>03</v>
      </c>
      <c r="D80" t="s">
        <v>17</v>
      </c>
      <c r="E80" t="s">
        <v>159</v>
      </c>
      <c r="F80" s="5">
        <v>172800000</v>
      </c>
      <c r="G80" s="5">
        <v>175800000</v>
      </c>
      <c r="H80" s="5">
        <f t="shared" si="4"/>
        <v>143838385.34000003</v>
      </c>
      <c r="I80" s="5">
        <f t="shared" si="5"/>
        <v>31961614.659999967</v>
      </c>
      <c r="J80" s="5">
        <v>3000000</v>
      </c>
      <c r="K80" s="5">
        <v>17280000</v>
      </c>
      <c r="L80" s="5">
        <v>17580000</v>
      </c>
      <c r="M80" s="7">
        <v>4588.6000000000004</v>
      </c>
      <c r="N80" s="5">
        <v>173100000</v>
      </c>
      <c r="O80" s="5">
        <v>176100000</v>
      </c>
      <c r="P80" s="3">
        <v>0.97916666666666663</v>
      </c>
    </row>
    <row r="81" spans="1:16" x14ac:dyDescent="0.25">
      <c r="A81" t="s">
        <v>66</v>
      </c>
      <c r="B81" s="2">
        <v>46102</v>
      </c>
      <c r="C81" t="str">
        <f t="shared" si="3"/>
        <v>03</v>
      </c>
      <c r="D81" t="s">
        <v>18</v>
      </c>
      <c r="E81" t="s">
        <v>159</v>
      </c>
      <c r="F81" s="5">
        <v>167700000</v>
      </c>
      <c r="G81" s="5">
        <v>170700000</v>
      </c>
      <c r="H81" s="5">
        <f t="shared" si="4"/>
        <v>140816544.18000001</v>
      </c>
      <c r="I81" s="5">
        <f t="shared" si="5"/>
        <v>29883455.819999993</v>
      </c>
      <c r="J81" s="5">
        <v>3000000</v>
      </c>
      <c r="K81" s="5">
        <v>16770000</v>
      </c>
      <c r="L81" s="5">
        <v>17070000</v>
      </c>
      <c r="M81" s="7">
        <v>4492.2</v>
      </c>
      <c r="N81" s="5">
        <v>168000000</v>
      </c>
      <c r="O81" s="5">
        <v>171000000</v>
      </c>
      <c r="P81" s="3">
        <v>0.39583333333333331</v>
      </c>
    </row>
    <row r="82" spans="1:16" x14ac:dyDescent="0.25">
      <c r="A82" t="s">
        <v>67</v>
      </c>
      <c r="B82" s="2">
        <v>46103</v>
      </c>
      <c r="C82" t="str">
        <f t="shared" si="3"/>
        <v>03</v>
      </c>
      <c r="D82" t="s">
        <v>19</v>
      </c>
      <c r="E82" t="s">
        <v>159</v>
      </c>
      <c r="F82" s="5">
        <v>167700000</v>
      </c>
      <c r="G82" s="5">
        <v>170700000</v>
      </c>
      <c r="H82" s="5">
        <f t="shared" si="4"/>
        <v>140816544.18000001</v>
      </c>
      <c r="I82" s="5">
        <f t="shared" si="5"/>
        <v>29883455.819999993</v>
      </c>
      <c r="J82" s="5">
        <v>3000000</v>
      </c>
      <c r="K82" s="5">
        <v>16770000</v>
      </c>
      <c r="L82" s="5">
        <v>17070000</v>
      </c>
      <c r="M82" s="7">
        <v>4492.2</v>
      </c>
      <c r="N82" s="5">
        <v>168000000</v>
      </c>
      <c r="O82" s="5">
        <v>171000000</v>
      </c>
      <c r="P82" s="3">
        <v>0.52083333333333337</v>
      </c>
    </row>
    <row r="83" spans="1:16" x14ac:dyDescent="0.25">
      <c r="A83" t="s">
        <v>68</v>
      </c>
      <c r="B83" s="2">
        <v>46104</v>
      </c>
      <c r="C83" t="str">
        <f t="shared" si="3"/>
        <v>03</v>
      </c>
      <c r="D83" t="s">
        <v>20</v>
      </c>
      <c r="E83" t="s">
        <v>159</v>
      </c>
      <c r="F83" s="5">
        <v>162800000</v>
      </c>
      <c r="G83" s="5">
        <v>165800000</v>
      </c>
      <c r="H83" s="5">
        <f t="shared" si="4"/>
        <v>136744581.87</v>
      </c>
      <c r="I83" s="5">
        <f t="shared" si="5"/>
        <v>29055418.129999995</v>
      </c>
      <c r="J83" s="5">
        <v>3000000</v>
      </c>
      <c r="K83" s="5">
        <v>16280000</v>
      </c>
      <c r="L83" s="5">
        <v>16580000</v>
      </c>
      <c r="M83" s="7">
        <v>4362.3</v>
      </c>
      <c r="N83" s="5">
        <v>163000000</v>
      </c>
      <c r="O83" s="5">
        <v>166000000</v>
      </c>
      <c r="P83" s="3">
        <v>0.97916666666666663</v>
      </c>
    </row>
    <row r="84" spans="1:16" x14ac:dyDescent="0.25">
      <c r="A84" t="s">
        <v>69</v>
      </c>
      <c r="B84" s="2">
        <v>46105</v>
      </c>
      <c r="C84" t="str">
        <f t="shared" si="3"/>
        <v>03</v>
      </c>
      <c r="D84" t="s">
        <v>21</v>
      </c>
      <c r="E84" t="s">
        <v>159</v>
      </c>
      <c r="F84" s="5">
        <v>167000000</v>
      </c>
      <c r="G84" s="5">
        <v>170000000</v>
      </c>
      <c r="H84" s="5">
        <f t="shared" si="4"/>
        <v>138675550.91</v>
      </c>
      <c r="I84" s="5">
        <f t="shared" si="5"/>
        <v>31324449.090000004</v>
      </c>
      <c r="J84" s="5">
        <v>3000000</v>
      </c>
      <c r="K84" s="5">
        <v>16700000</v>
      </c>
      <c r="L84" s="5">
        <v>17000000</v>
      </c>
      <c r="M84" s="7">
        <v>4423.8999999999996</v>
      </c>
      <c r="N84" s="5">
        <v>167200000</v>
      </c>
      <c r="O84" s="5">
        <v>170200000</v>
      </c>
      <c r="P84" s="3">
        <v>0.97916666666666663</v>
      </c>
    </row>
    <row r="85" spans="1:16" x14ac:dyDescent="0.25">
      <c r="A85" t="s">
        <v>70</v>
      </c>
      <c r="B85" s="2">
        <v>46106</v>
      </c>
      <c r="C85" t="str">
        <f t="shared" si="3"/>
        <v>03</v>
      </c>
      <c r="D85" t="s">
        <v>22</v>
      </c>
      <c r="E85" t="s">
        <v>159</v>
      </c>
      <c r="F85" s="5">
        <v>170300000</v>
      </c>
      <c r="G85" s="5">
        <v>173300000</v>
      </c>
      <c r="H85" s="5">
        <f t="shared" si="4"/>
        <v>142885439.58000001</v>
      </c>
      <c r="I85" s="5">
        <f t="shared" si="5"/>
        <v>30414560.419999987</v>
      </c>
      <c r="J85" s="5">
        <v>3000000</v>
      </c>
      <c r="K85" s="5">
        <v>17030000</v>
      </c>
      <c r="L85" s="5">
        <v>17330000</v>
      </c>
      <c r="M85" s="7">
        <v>4558.2</v>
      </c>
      <c r="N85" s="5">
        <v>170500000</v>
      </c>
      <c r="O85" s="5">
        <v>173500000</v>
      </c>
      <c r="P85" s="3">
        <v>0.97916666666666663</v>
      </c>
    </row>
    <row r="86" spans="1:16" x14ac:dyDescent="0.25">
      <c r="A86" t="s">
        <v>71</v>
      </c>
      <c r="B86" s="2">
        <v>46107</v>
      </c>
      <c r="C86" t="str">
        <f t="shared" si="3"/>
        <v>03</v>
      </c>
      <c r="D86" t="s">
        <v>16</v>
      </c>
      <c r="E86" t="s">
        <v>159</v>
      </c>
      <c r="F86" s="5">
        <v>168300000</v>
      </c>
      <c r="G86" s="5">
        <v>171300000</v>
      </c>
      <c r="H86" s="5">
        <f t="shared" si="4"/>
        <v>137769625.5</v>
      </c>
      <c r="I86" s="5">
        <f t="shared" si="5"/>
        <v>33530374.5</v>
      </c>
      <c r="J86" s="5">
        <v>3000000</v>
      </c>
      <c r="K86" s="5">
        <v>16830000</v>
      </c>
      <c r="L86" s="5">
        <v>17130000</v>
      </c>
      <c r="M86" s="7">
        <v>4395</v>
      </c>
      <c r="N86" s="5">
        <v>168500000</v>
      </c>
      <c r="O86" s="5">
        <v>171500000</v>
      </c>
      <c r="P86" s="3">
        <v>0.97916666666666663</v>
      </c>
    </row>
    <row r="87" spans="1:16" x14ac:dyDescent="0.25">
      <c r="A87" t="s">
        <v>72</v>
      </c>
      <c r="B87" s="2">
        <v>46108</v>
      </c>
      <c r="C87" t="str">
        <f t="shared" si="3"/>
        <v>03</v>
      </c>
      <c r="D87" t="s">
        <v>17</v>
      </c>
      <c r="E87" t="s">
        <v>159</v>
      </c>
      <c r="F87" s="5">
        <v>168400000</v>
      </c>
      <c r="G87" s="5">
        <v>171400000</v>
      </c>
      <c r="H87" s="5">
        <f t="shared" si="4"/>
        <v>141995187.62</v>
      </c>
      <c r="I87" s="5">
        <f t="shared" si="5"/>
        <v>29404812.379999995</v>
      </c>
      <c r="J87" s="5">
        <v>3000000</v>
      </c>
      <c r="K87" s="5">
        <v>16840000</v>
      </c>
      <c r="L87" s="5">
        <v>17140000</v>
      </c>
      <c r="M87" s="7">
        <v>4529.8</v>
      </c>
      <c r="N87" s="5">
        <v>168600000</v>
      </c>
      <c r="O87" s="5">
        <v>171600000</v>
      </c>
      <c r="P87" s="3">
        <v>0.97916666666666663</v>
      </c>
    </row>
    <row r="88" spans="1:16" x14ac:dyDescent="0.25">
      <c r="A88" t="s">
        <v>73</v>
      </c>
      <c r="B88" s="2">
        <v>46109</v>
      </c>
      <c r="C88" t="str">
        <f t="shared" si="3"/>
        <v>03</v>
      </c>
      <c r="D88" t="s">
        <v>18</v>
      </c>
      <c r="E88" t="s">
        <v>159</v>
      </c>
      <c r="F88" s="5">
        <v>169600000</v>
      </c>
      <c r="G88" s="5">
        <v>172600000</v>
      </c>
      <c r="H88" s="5">
        <f t="shared" si="4"/>
        <v>140904315.5</v>
      </c>
      <c r="I88" s="5">
        <f t="shared" si="5"/>
        <v>31695684.5</v>
      </c>
      <c r="J88" s="5">
        <v>3000000</v>
      </c>
      <c r="K88" s="5">
        <v>16960000</v>
      </c>
      <c r="L88" s="5">
        <v>17260000</v>
      </c>
      <c r="M88" s="7">
        <v>4495</v>
      </c>
      <c r="N88" s="5">
        <v>169800000</v>
      </c>
      <c r="O88" s="5">
        <v>172800000</v>
      </c>
      <c r="P88" s="3">
        <v>0.39583333333333331</v>
      </c>
    </row>
    <row r="89" spans="1:16" x14ac:dyDescent="0.25">
      <c r="A89" t="s">
        <v>74</v>
      </c>
      <c r="B89" s="2">
        <v>46110</v>
      </c>
      <c r="C89" t="str">
        <f t="shared" si="3"/>
        <v>03</v>
      </c>
      <c r="D89" t="s">
        <v>19</v>
      </c>
      <c r="E89" t="s">
        <v>159</v>
      </c>
      <c r="F89" s="5">
        <v>169600000</v>
      </c>
      <c r="G89" s="5">
        <v>172600000</v>
      </c>
      <c r="H89" s="5">
        <f t="shared" si="4"/>
        <v>140904315.5</v>
      </c>
      <c r="I89" s="5">
        <f t="shared" si="5"/>
        <v>31695684.5</v>
      </c>
      <c r="J89" s="5">
        <v>3000000</v>
      </c>
      <c r="K89" s="5">
        <v>16960000</v>
      </c>
      <c r="L89" s="5">
        <v>17260000</v>
      </c>
      <c r="M89" s="7">
        <v>4495</v>
      </c>
      <c r="N89" s="5">
        <v>169800000</v>
      </c>
      <c r="O89" s="5">
        <v>172800000</v>
      </c>
      <c r="P89" s="3">
        <v>0</v>
      </c>
    </row>
    <row r="90" spans="1:16" x14ac:dyDescent="0.25">
      <c r="A90" t="s">
        <v>75</v>
      </c>
      <c r="B90" s="2">
        <v>46111</v>
      </c>
      <c r="C90" t="str">
        <f t="shared" si="3"/>
        <v>03</v>
      </c>
      <c r="D90" t="s">
        <v>20</v>
      </c>
      <c r="E90" t="s">
        <v>159</v>
      </c>
      <c r="F90" s="5">
        <v>170600000</v>
      </c>
      <c r="G90" s="5">
        <v>173600000</v>
      </c>
      <c r="H90" s="5">
        <f t="shared" si="4"/>
        <v>142311791.31</v>
      </c>
      <c r="I90" s="5">
        <f t="shared" si="5"/>
        <v>31288208.689999998</v>
      </c>
      <c r="J90" s="5">
        <v>3000000</v>
      </c>
      <c r="K90" s="5">
        <v>17060000</v>
      </c>
      <c r="L90" s="5">
        <v>17360000</v>
      </c>
      <c r="M90" s="7">
        <v>4539.8999999999996</v>
      </c>
      <c r="N90" s="5">
        <v>170800000</v>
      </c>
      <c r="O90" s="5">
        <v>173800000</v>
      </c>
      <c r="P90" s="3">
        <v>0.97916666666666663</v>
      </c>
    </row>
    <row r="91" spans="1:16" x14ac:dyDescent="0.25">
      <c r="A91" t="s">
        <v>76</v>
      </c>
      <c r="B91" s="2">
        <v>46112</v>
      </c>
      <c r="C91" t="str">
        <f t="shared" si="3"/>
        <v>03</v>
      </c>
      <c r="D91" t="s">
        <v>21</v>
      </c>
      <c r="E91" t="s">
        <v>159</v>
      </c>
      <c r="F91" s="5">
        <v>171700000</v>
      </c>
      <c r="G91" s="5">
        <v>174700000</v>
      </c>
      <c r="H91" s="5">
        <f t="shared" si="4"/>
        <v>144797600.48000002</v>
      </c>
      <c r="I91" s="5">
        <f t="shared" si="5"/>
        <v>29902399.519999981</v>
      </c>
      <c r="J91" s="5">
        <v>3000000</v>
      </c>
      <c r="K91" s="5">
        <v>17170000</v>
      </c>
      <c r="L91" s="5">
        <v>17470000</v>
      </c>
      <c r="M91" s="7">
        <v>4619.2</v>
      </c>
      <c r="N91" s="5">
        <v>171900000</v>
      </c>
      <c r="O91" s="5">
        <v>174900000</v>
      </c>
      <c r="P91" s="3">
        <v>0.97916666666666663</v>
      </c>
    </row>
    <row r="92" spans="1:16" x14ac:dyDescent="0.25">
      <c r="A92" s="2">
        <v>46026</v>
      </c>
      <c r="B92" s="2">
        <v>46113</v>
      </c>
      <c r="C92" t="str">
        <f t="shared" si="3"/>
        <v>04</v>
      </c>
      <c r="D92" t="s">
        <v>22</v>
      </c>
      <c r="E92" t="s">
        <v>159</v>
      </c>
      <c r="F92" s="5">
        <v>173500000</v>
      </c>
      <c r="G92" s="5">
        <v>176500000</v>
      </c>
      <c r="H92" s="5">
        <f t="shared" si="4"/>
        <v>150060744.99000004</v>
      </c>
      <c r="I92" s="5">
        <f t="shared" si="5"/>
        <v>26439255.009999961</v>
      </c>
      <c r="J92" s="5">
        <v>3000000</v>
      </c>
      <c r="K92" s="5">
        <v>17350000</v>
      </c>
      <c r="L92" s="5">
        <v>17650000</v>
      </c>
      <c r="M92" s="7">
        <v>4787.1000000000004</v>
      </c>
      <c r="N92" s="5">
        <v>173700000</v>
      </c>
      <c r="O92" s="5">
        <v>176700000</v>
      </c>
      <c r="P92" s="3">
        <v>0.95833333333333337</v>
      </c>
    </row>
    <row r="93" spans="1:16" x14ac:dyDescent="0.25">
      <c r="A93" s="2">
        <v>46057</v>
      </c>
      <c r="B93" s="2">
        <v>46114</v>
      </c>
      <c r="C93" t="str">
        <f t="shared" si="3"/>
        <v>04</v>
      </c>
      <c r="D93" t="s">
        <v>16</v>
      </c>
      <c r="E93" t="s">
        <v>159</v>
      </c>
      <c r="F93" s="5">
        <v>169800000</v>
      </c>
      <c r="G93" s="5">
        <v>173300000</v>
      </c>
      <c r="H93" s="5">
        <f t="shared" si="4"/>
        <v>145966839.85000002</v>
      </c>
      <c r="I93" s="5">
        <f t="shared" si="5"/>
        <v>27333160.149999976</v>
      </c>
      <c r="J93" s="5">
        <v>3500000</v>
      </c>
      <c r="K93" s="5">
        <v>16980000</v>
      </c>
      <c r="L93" s="5">
        <v>17330000</v>
      </c>
      <c r="M93" s="7">
        <v>4656.5</v>
      </c>
      <c r="N93" s="5">
        <v>170000000</v>
      </c>
      <c r="O93" s="5">
        <v>173500000</v>
      </c>
      <c r="P93" s="3">
        <v>0.97916666666666663</v>
      </c>
    </row>
    <row r="94" spans="1:16" x14ac:dyDescent="0.25">
      <c r="A94" s="2">
        <v>46085</v>
      </c>
      <c r="B94" s="2">
        <v>46115</v>
      </c>
      <c r="C94" t="str">
        <f t="shared" si="3"/>
        <v>04</v>
      </c>
      <c r="D94" t="s">
        <v>17</v>
      </c>
      <c r="E94" t="s">
        <v>159</v>
      </c>
      <c r="F94" s="5">
        <v>170800000</v>
      </c>
      <c r="G94" s="5">
        <v>174300000</v>
      </c>
      <c r="H94" s="5">
        <f t="shared" si="4"/>
        <v>146640798.20000002</v>
      </c>
      <c r="I94" s="5">
        <f t="shared" si="5"/>
        <v>27659201.799999982</v>
      </c>
      <c r="J94" s="5">
        <v>3500000</v>
      </c>
      <c r="K94" s="5">
        <v>17080000</v>
      </c>
      <c r="L94" s="5">
        <v>17430000</v>
      </c>
      <c r="M94" s="7">
        <v>4678</v>
      </c>
      <c r="N94" s="5">
        <v>171000000</v>
      </c>
      <c r="O94" s="5">
        <v>174500000</v>
      </c>
      <c r="P94" s="3">
        <v>0.39583333333333331</v>
      </c>
    </row>
    <row r="95" spans="1:16" x14ac:dyDescent="0.25">
      <c r="A95" s="2">
        <v>46116</v>
      </c>
      <c r="B95" s="2">
        <v>46116</v>
      </c>
      <c r="C95" t="str">
        <f t="shared" si="3"/>
        <v>04</v>
      </c>
      <c r="D95" t="s">
        <v>18</v>
      </c>
      <c r="E95" t="s">
        <v>159</v>
      </c>
      <c r="F95" s="5">
        <v>171300000</v>
      </c>
      <c r="G95" s="5">
        <v>174300000</v>
      </c>
      <c r="H95" s="5">
        <f t="shared" si="4"/>
        <v>146640798.20000002</v>
      </c>
      <c r="I95" s="5">
        <f t="shared" si="5"/>
        <v>27659201.799999982</v>
      </c>
      <c r="J95" s="5">
        <v>3000000</v>
      </c>
      <c r="K95" s="5">
        <v>17130000</v>
      </c>
      <c r="L95" s="5">
        <v>17430000</v>
      </c>
      <c r="M95" s="7">
        <v>4678</v>
      </c>
      <c r="N95" s="5">
        <v>171500000</v>
      </c>
      <c r="O95" s="5">
        <v>174500000</v>
      </c>
      <c r="P95" s="3">
        <v>0.35416666666666669</v>
      </c>
    </row>
    <row r="96" spans="1:16" x14ac:dyDescent="0.25">
      <c r="A96" s="2">
        <v>46146</v>
      </c>
      <c r="B96" s="2">
        <v>46117</v>
      </c>
      <c r="C96" t="str">
        <f t="shared" si="3"/>
        <v>04</v>
      </c>
      <c r="D96" t="s">
        <v>19</v>
      </c>
      <c r="E96" t="s">
        <v>159</v>
      </c>
      <c r="F96" s="5">
        <v>171300000</v>
      </c>
      <c r="G96" s="5">
        <v>174300000</v>
      </c>
      <c r="H96" s="5">
        <f t="shared" si="4"/>
        <v>146640798.20000002</v>
      </c>
      <c r="I96" s="5">
        <f t="shared" si="5"/>
        <v>27659201.799999982</v>
      </c>
      <c r="J96" s="5">
        <v>3000000</v>
      </c>
      <c r="K96" s="5">
        <v>17130000</v>
      </c>
      <c r="L96" s="5">
        <v>17430000</v>
      </c>
      <c r="M96" s="7">
        <v>4678</v>
      </c>
      <c r="N96" s="5">
        <v>171500000</v>
      </c>
      <c r="O96" s="5">
        <v>174500000</v>
      </c>
      <c r="P96" s="3">
        <v>0</v>
      </c>
    </row>
    <row r="97" spans="1:16" x14ac:dyDescent="0.25">
      <c r="A97" s="2">
        <v>46177</v>
      </c>
      <c r="B97" s="2">
        <v>46118</v>
      </c>
      <c r="C97" t="str">
        <f t="shared" si="3"/>
        <v>04</v>
      </c>
      <c r="D97" t="s">
        <v>20</v>
      </c>
      <c r="E97" t="s">
        <v>159</v>
      </c>
      <c r="F97" s="5">
        <v>169600000</v>
      </c>
      <c r="G97" s="5">
        <v>172600000</v>
      </c>
      <c r="H97" s="5">
        <f t="shared" si="4"/>
        <v>146368080.17000002</v>
      </c>
      <c r="I97" s="5">
        <f t="shared" si="5"/>
        <v>26231919.829999983</v>
      </c>
      <c r="J97" s="5">
        <v>3000000</v>
      </c>
      <c r="K97" s="5">
        <v>16960000</v>
      </c>
      <c r="L97" s="5">
        <v>17260000</v>
      </c>
      <c r="M97" s="7">
        <v>4669.3</v>
      </c>
      <c r="N97" s="5">
        <v>170100000</v>
      </c>
      <c r="O97" s="5">
        <v>173100000</v>
      </c>
      <c r="P97" s="3">
        <v>0.97916666666666663</v>
      </c>
    </row>
    <row r="98" spans="1:16" x14ac:dyDescent="0.25">
      <c r="A98" s="2">
        <v>46207</v>
      </c>
      <c r="B98" s="2">
        <v>46119</v>
      </c>
      <c r="C98" t="str">
        <f t="shared" si="3"/>
        <v>04</v>
      </c>
      <c r="D98" t="s">
        <v>21</v>
      </c>
      <c r="E98" t="s">
        <v>159</v>
      </c>
      <c r="F98" s="5">
        <v>169000000</v>
      </c>
      <c r="G98" s="5">
        <v>172000000</v>
      </c>
      <c r="H98" s="5">
        <f t="shared" si="4"/>
        <v>146145517.18000001</v>
      </c>
      <c r="I98" s="5">
        <f t="shared" si="5"/>
        <v>25854482.819999993</v>
      </c>
      <c r="J98" s="5">
        <v>3000000</v>
      </c>
      <c r="K98" s="5">
        <v>16900000</v>
      </c>
      <c r="L98" s="5">
        <v>17200000</v>
      </c>
      <c r="M98" s="7">
        <v>4662.2</v>
      </c>
      <c r="N98" s="5">
        <v>169500000</v>
      </c>
      <c r="O98" s="5">
        <v>172500000</v>
      </c>
      <c r="P98" s="3">
        <v>0.97916666666666663</v>
      </c>
    </row>
    <row r="99" spans="1:16" x14ac:dyDescent="0.25">
      <c r="A99" s="2">
        <v>46238</v>
      </c>
      <c r="B99" s="2">
        <v>46120</v>
      </c>
      <c r="C99" t="str">
        <f t="shared" si="3"/>
        <v>04</v>
      </c>
      <c r="D99" t="s">
        <v>22</v>
      </c>
      <c r="E99" t="s">
        <v>159</v>
      </c>
      <c r="F99" s="5">
        <v>170500000</v>
      </c>
      <c r="G99" s="5">
        <v>174500000</v>
      </c>
      <c r="H99" s="5">
        <f t="shared" si="4"/>
        <v>148922852.52000001</v>
      </c>
      <c r="I99" s="5">
        <f t="shared" si="5"/>
        <v>25577147.479999989</v>
      </c>
      <c r="J99" s="5">
        <v>4000000</v>
      </c>
      <c r="K99" s="5">
        <v>17050000</v>
      </c>
      <c r="L99" s="5">
        <v>17450000</v>
      </c>
      <c r="M99" s="7">
        <v>4750.8</v>
      </c>
      <c r="N99" s="5">
        <v>171000000</v>
      </c>
      <c r="O99" s="5">
        <v>175000000</v>
      </c>
      <c r="P99" s="3">
        <v>0.97916666666666663</v>
      </c>
    </row>
    <row r="100" spans="1:16" x14ac:dyDescent="0.25">
      <c r="A100" s="2">
        <v>46269</v>
      </c>
      <c r="B100" s="2">
        <v>46121</v>
      </c>
      <c r="C100" t="str">
        <f t="shared" si="3"/>
        <v>04</v>
      </c>
      <c r="D100" t="s">
        <v>16</v>
      </c>
      <c r="E100" t="s">
        <v>159</v>
      </c>
      <c r="F100" s="5">
        <v>168000000</v>
      </c>
      <c r="G100" s="5">
        <v>171000000</v>
      </c>
      <c r="H100" s="5">
        <f t="shared" si="4"/>
        <v>150286442.67000002</v>
      </c>
      <c r="I100" s="5">
        <f t="shared" si="5"/>
        <v>20713557.329999983</v>
      </c>
      <c r="J100" s="5">
        <v>3000000</v>
      </c>
      <c r="K100" s="5">
        <v>16800000</v>
      </c>
      <c r="L100" s="5">
        <v>17100000</v>
      </c>
      <c r="M100" s="7">
        <v>4794.3</v>
      </c>
      <c r="N100" s="5">
        <v>168500000</v>
      </c>
      <c r="O100" s="5">
        <v>171500000</v>
      </c>
      <c r="P100" s="3">
        <v>0.97916666666666663</v>
      </c>
    </row>
    <row r="101" spans="1:16" x14ac:dyDescent="0.25">
      <c r="A101" s="2">
        <v>46299</v>
      </c>
      <c r="B101" s="2">
        <v>46122</v>
      </c>
      <c r="C101" t="str">
        <f t="shared" si="3"/>
        <v>04</v>
      </c>
      <c r="D101" t="s">
        <v>17</v>
      </c>
      <c r="E101" t="s">
        <v>159</v>
      </c>
      <c r="F101" s="5">
        <v>169400000</v>
      </c>
      <c r="G101" s="5">
        <v>172400000</v>
      </c>
      <c r="H101" s="5">
        <f t="shared" si="4"/>
        <v>149286476.56</v>
      </c>
      <c r="I101" s="5">
        <f t="shared" si="5"/>
        <v>23113523.439999998</v>
      </c>
      <c r="J101" s="5">
        <v>3000000</v>
      </c>
      <c r="K101" s="5">
        <v>16940000</v>
      </c>
      <c r="L101" s="5">
        <v>17240000</v>
      </c>
      <c r="M101" s="7">
        <v>4762.3999999999996</v>
      </c>
      <c r="N101" s="5">
        <v>169700000</v>
      </c>
      <c r="O101" s="5">
        <v>172700000</v>
      </c>
      <c r="P101" s="3">
        <v>0.97916666666666663</v>
      </c>
    </row>
    <row r="102" spans="1:16" x14ac:dyDescent="0.25">
      <c r="A102" s="2">
        <v>46330</v>
      </c>
      <c r="B102" s="2">
        <v>46123</v>
      </c>
      <c r="C102" t="str">
        <f t="shared" si="3"/>
        <v>04</v>
      </c>
      <c r="D102" t="s">
        <v>18</v>
      </c>
      <c r="E102" t="s">
        <v>159</v>
      </c>
      <c r="F102" s="5">
        <v>169100000</v>
      </c>
      <c r="G102" s="5">
        <v>172100000</v>
      </c>
      <c r="H102" s="5">
        <f t="shared" si="4"/>
        <v>148872697.48000002</v>
      </c>
      <c r="I102" s="5">
        <f t="shared" si="5"/>
        <v>23227302.519999981</v>
      </c>
      <c r="J102" s="5">
        <v>3000000</v>
      </c>
      <c r="K102" s="5">
        <v>16910000</v>
      </c>
      <c r="L102" s="5">
        <v>17210000</v>
      </c>
      <c r="M102" s="7">
        <v>4749.2</v>
      </c>
      <c r="N102" s="5">
        <v>169400000</v>
      </c>
      <c r="O102" s="5">
        <v>172400000</v>
      </c>
      <c r="P102" s="3">
        <v>0.39583333333333331</v>
      </c>
    </row>
    <row r="103" spans="1:16" x14ac:dyDescent="0.25">
      <c r="A103" s="2">
        <v>46360</v>
      </c>
      <c r="B103" s="2">
        <v>46124</v>
      </c>
      <c r="C103" t="str">
        <f t="shared" si="3"/>
        <v>04</v>
      </c>
      <c r="D103" t="s">
        <v>19</v>
      </c>
      <c r="E103" t="s">
        <v>159</v>
      </c>
      <c r="F103" s="5">
        <v>169100000</v>
      </c>
      <c r="G103" s="5">
        <v>172100000</v>
      </c>
      <c r="H103" s="5">
        <f t="shared" si="4"/>
        <v>148872697.48000002</v>
      </c>
      <c r="I103" s="5">
        <f t="shared" si="5"/>
        <v>23227302.519999981</v>
      </c>
      <c r="J103" s="5">
        <v>3000000</v>
      </c>
      <c r="K103" s="5">
        <v>16910000</v>
      </c>
      <c r="L103" s="5">
        <v>17210000</v>
      </c>
      <c r="M103" s="7">
        <v>4749.2</v>
      </c>
      <c r="N103" s="5">
        <v>169400000</v>
      </c>
      <c r="O103" s="5">
        <v>172400000</v>
      </c>
      <c r="P103" s="3">
        <v>0.64583333333333337</v>
      </c>
    </row>
    <row r="104" spans="1:16" x14ac:dyDescent="0.25">
      <c r="A104" t="s">
        <v>77</v>
      </c>
      <c r="B104" s="2">
        <v>46125</v>
      </c>
      <c r="C104" t="str">
        <f t="shared" si="3"/>
        <v>04</v>
      </c>
      <c r="D104" t="s">
        <v>20</v>
      </c>
      <c r="E104" t="s">
        <v>159</v>
      </c>
      <c r="F104" s="5">
        <v>168200000</v>
      </c>
      <c r="G104" s="5">
        <v>171200000</v>
      </c>
      <c r="H104" s="5">
        <f t="shared" si="4"/>
        <v>148324126.73000002</v>
      </c>
      <c r="I104" s="5">
        <f t="shared" si="5"/>
        <v>22875873.269999981</v>
      </c>
      <c r="J104" s="5">
        <v>3000000</v>
      </c>
      <c r="K104" s="5">
        <v>16820000</v>
      </c>
      <c r="L104" s="5">
        <v>17120000</v>
      </c>
      <c r="M104" s="7">
        <v>4731.7</v>
      </c>
      <c r="N104" s="5">
        <v>168500000</v>
      </c>
      <c r="O104" s="5">
        <v>171500000</v>
      </c>
      <c r="P104" s="3">
        <v>0.97916666666666663</v>
      </c>
    </row>
    <row r="105" spans="1:16" x14ac:dyDescent="0.25">
      <c r="A105" t="s">
        <v>78</v>
      </c>
      <c r="B105" s="2">
        <v>46126</v>
      </c>
      <c r="C105" t="str">
        <f t="shared" si="3"/>
        <v>04</v>
      </c>
      <c r="D105" t="s">
        <v>21</v>
      </c>
      <c r="E105" t="s">
        <v>159</v>
      </c>
      <c r="F105" s="5">
        <v>170200000</v>
      </c>
      <c r="G105" s="5">
        <v>172700000</v>
      </c>
      <c r="H105" s="5">
        <f t="shared" si="4"/>
        <v>151098327.38000003</v>
      </c>
      <c r="I105" s="5">
        <f t="shared" si="5"/>
        <v>21601672.619999975</v>
      </c>
      <c r="J105" s="5">
        <v>2500000</v>
      </c>
      <c r="K105" s="5">
        <v>17020000</v>
      </c>
      <c r="L105" s="5">
        <v>17270000</v>
      </c>
      <c r="M105" s="7">
        <v>4820.2</v>
      </c>
      <c r="N105" s="5">
        <v>170500000</v>
      </c>
      <c r="O105" s="5">
        <v>173000000</v>
      </c>
      <c r="P105" s="3">
        <v>0.97916666666666663</v>
      </c>
    </row>
    <row r="106" spans="1:16" x14ac:dyDescent="0.25">
      <c r="A106" t="s">
        <v>79</v>
      </c>
      <c r="B106" s="2">
        <v>46127</v>
      </c>
      <c r="C106" t="str">
        <f t="shared" si="3"/>
        <v>04</v>
      </c>
      <c r="D106" t="s">
        <v>22</v>
      </c>
      <c r="E106" t="s">
        <v>159</v>
      </c>
      <c r="F106" s="5">
        <v>169700000</v>
      </c>
      <c r="G106" s="5">
        <v>173200000</v>
      </c>
      <c r="H106" s="5">
        <f t="shared" si="4"/>
        <v>150781723.69000003</v>
      </c>
      <c r="I106" s="5">
        <f t="shared" si="5"/>
        <v>22418276.309999973</v>
      </c>
      <c r="J106" s="5">
        <v>3500000</v>
      </c>
      <c r="K106" s="5">
        <v>16970000</v>
      </c>
      <c r="L106" s="5">
        <v>17320000</v>
      </c>
      <c r="M106" s="7">
        <v>4810.1000000000004</v>
      </c>
      <c r="N106" s="5">
        <v>170000000</v>
      </c>
      <c r="O106" s="5">
        <v>173500000</v>
      </c>
      <c r="P106" s="3">
        <v>0.97916666666666663</v>
      </c>
    </row>
    <row r="107" spans="1:16" x14ac:dyDescent="0.25">
      <c r="A107" t="s">
        <v>80</v>
      </c>
      <c r="B107" s="2">
        <v>46128</v>
      </c>
      <c r="C107" t="str">
        <f t="shared" si="3"/>
        <v>04</v>
      </c>
      <c r="D107" t="s">
        <v>16</v>
      </c>
      <c r="E107" t="s">
        <v>159</v>
      </c>
      <c r="F107" s="5">
        <v>167200000</v>
      </c>
      <c r="G107" s="5">
        <v>170700000</v>
      </c>
      <c r="H107" s="5">
        <f t="shared" si="4"/>
        <v>150499601.59000003</v>
      </c>
      <c r="I107" s="5">
        <f t="shared" si="5"/>
        <v>20200398.409999967</v>
      </c>
      <c r="J107" s="5">
        <v>3500000</v>
      </c>
      <c r="K107" s="5">
        <v>16720000</v>
      </c>
      <c r="L107" s="5">
        <v>17070000</v>
      </c>
      <c r="M107" s="7">
        <v>4801.1000000000004</v>
      </c>
      <c r="N107" s="5">
        <v>167700000</v>
      </c>
      <c r="O107" s="5">
        <v>171200000</v>
      </c>
      <c r="P107" s="3">
        <v>0.97916666666666663</v>
      </c>
    </row>
    <row r="108" spans="1:16" x14ac:dyDescent="0.25">
      <c r="A108" t="s">
        <v>81</v>
      </c>
      <c r="B108" s="2">
        <v>46129</v>
      </c>
      <c r="C108" t="str">
        <f t="shared" si="3"/>
        <v>04</v>
      </c>
      <c r="D108" t="s">
        <v>17</v>
      </c>
      <c r="E108" t="s">
        <v>159</v>
      </c>
      <c r="F108" s="5">
        <v>167000000</v>
      </c>
      <c r="G108" s="5">
        <v>170500000</v>
      </c>
      <c r="H108" s="5">
        <f t="shared" si="4"/>
        <v>152681345.83000001</v>
      </c>
      <c r="I108" s="5">
        <f t="shared" si="5"/>
        <v>17818654.169999987</v>
      </c>
      <c r="J108" s="5">
        <v>3500000</v>
      </c>
      <c r="K108" s="5">
        <v>16700000</v>
      </c>
      <c r="L108" s="5">
        <v>17050000</v>
      </c>
      <c r="M108" s="7">
        <v>4870.7</v>
      </c>
      <c r="N108" s="5">
        <v>167500000</v>
      </c>
      <c r="O108" s="5">
        <v>171000000</v>
      </c>
      <c r="P108" s="3">
        <v>0.97916666666666663</v>
      </c>
    </row>
    <row r="109" spans="1:16" x14ac:dyDescent="0.25">
      <c r="A109" t="s">
        <v>82</v>
      </c>
      <c r="B109" s="2">
        <v>46130</v>
      </c>
      <c r="C109" t="str">
        <f t="shared" si="3"/>
        <v>04</v>
      </c>
      <c r="D109" t="s">
        <v>18</v>
      </c>
      <c r="E109" t="s">
        <v>159</v>
      </c>
      <c r="F109" s="5">
        <v>168000000</v>
      </c>
      <c r="G109" s="5">
        <v>171500000</v>
      </c>
      <c r="H109" s="5">
        <f t="shared" si="4"/>
        <v>151449412.66</v>
      </c>
      <c r="I109" s="5">
        <f t="shared" si="5"/>
        <v>20050587.340000004</v>
      </c>
      <c r="J109" s="5">
        <v>3500000</v>
      </c>
      <c r="K109" s="5">
        <v>16800000</v>
      </c>
      <c r="L109" s="5">
        <v>17150000</v>
      </c>
      <c r="M109" s="7">
        <v>4831.3999999999996</v>
      </c>
      <c r="N109" s="5">
        <v>168500000</v>
      </c>
      <c r="O109" s="5">
        <v>172000000</v>
      </c>
      <c r="P109" s="3">
        <v>0.39583333333333331</v>
      </c>
    </row>
    <row r="110" spans="1:16" x14ac:dyDescent="0.25">
      <c r="A110" t="s">
        <v>83</v>
      </c>
      <c r="B110" s="2">
        <v>46131</v>
      </c>
      <c r="C110" t="str">
        <f t="shared" si="3"/>
        <v>04</v>
      </c>
      <c r="D110" t="s">
        <v>19</v>
      </c>
      <c r="E110" t="s">
        <v>159</v>
      </c>
      <c r="F110" s="5">
        <v>168000000</v>
      </c>
      <c r="G110" s="5">
        <v>171500000</v>
      </c>
      <c r="H110" s="5">
        <f t="shared" si="4"/>
        <v>151449412.66</v>
      </c>
      <c r="I110" s="5">
        <f t="shared" si="5"/>
        <v>20050587.340000004</v>
      </c>
      <c r="J110" s="5">
        <v>3500000</v>
      </c>
      <c r="K110" s="5">
        <v>16800000</v>
      </c>
      <c r="L110" s="5">
        <v>17150000</v>
      </c>
      <c r="M110" s="7">
        <v>4831.3999999999996</v>
      </c>
      <c r="N110" s="5">
        <v>168500000</v>
      </c>
      <c r="O110" s="5">
        <v>172000000</v>
      </c>
      <c r="P110" s="3">
        <v>0</v>
      </c>
    </row>
    <row r="111" spans="1:16" x14ac:dyDescent="0.25">
      <c r="A111" t="s">
        <v>84</v>
      </c>
      <c r="B111" s="2">
        <v>46132</v>
      </c>
      <c r="C111" t="str">
        <f t="shared" si="3"/>
        <v>04</v>
      </c>
      <c r="D111" t="s">
        <v>20</v>
      </c>
      <c r="E111" t="s">
        <v>159</v>
      </c>
      <c r="F111" s="5">
        <v>167800000</v>
      </c>
      <c r="G111" s="5">
        <v>170800000</v>
      </c>
      <c r="H111" s="5">
        <f t="shared" si="4"/>
        <v>150518409.73000002</v>
      </c>
      <c r="I111" s="5">
        <f t="shared" si="5"/>
        <v>20281590.269999981</v>
      </c>
      <c r="J111" s="5">
        <v>3000000</v>
      </c>
      <c r="K111" s="5">
        <v>16780000</v>
      </c>
      <c r="L111" s="5">
        <v>17080000</v>
      </c>
      <c r="M111" s="7">
        <v>4801.7</v>
      </c>
      <c r="N111" s="5">
        <v>168300000</v>
      </c>
      <c r="O111" s="5">
        <v>171300000</v>
      </c>
      <c r="P111" s="3">
        <v>0.97916666666666663</v>
      </c>
    </row>
    <row r="112" spans="1:16" x14ac:dyDescent="0.25">
      <c r="A112" t="s">
        <v>85</v>
      </c>
      <c r="B112" s="2">
        <v>46133</v>
      </c>
      <c r="C112" t="str">
        <f t="shared" si="3"/>
        <v>04</v>
      </c>
      <c r="D112" t="s">
        <v>21</v>
      </c>
      <c r="E112" t="s">
        <v>159</v>
      </c>
      <c r="F112" s="5">
        <v>167900000</v>
      </c>
      <c r="G112" s="5">
        <v>170400000</v>
      </c>
      <c r="H112" s="5">
        <f t="shared" si="4"/>
        <v>148170526.92000002</v>
      </c>
      <c r="I112" s="5">
        <f t="shared" si="5"/>
        <v>22229473.079999983</v>
      </c>
      <c r="J112" s="5">
        <v>2500000</v>
      </c>
      <c r="K112" s="5">
        <v>16790000</v>
      </c>
      <c r="L112" s="5">
        <v>17040000</v>
      </c>
      <c r="M112" s="7">
        <v>4726.8</v>
      </c>
      <c r="N112" s="5">
        <v>168100000</v>
      </c>
      <c r="O112" s="5">
        <v>170600000</v>
      </c>
      <c r="P112" s="3">
        <v>0.97916666666666663</v>
      </c>
    </row>
    <row r="113" spans="1:16" x14ac:dyDescent="0.25">
      <c r="A113" t="s">
        <v>86</v>
      </c>
      <c r="B113" s="2">
        <v>46134</v>
      </c>
      <c r="C113" t="str">
        <f t="shared" si="3"/>
        <v>04</v>
      </c>
      <c r="D113" t="s">
        <v>22</v>
      </c>
      <c r="E113" t="s">
        <v>159</v>
      </c>
      <c r="F113" s="5">
        <v>167300000</v>
      </c>
      <c r="G113" s="5">
        <v>169800000</v>
      </c>
      <c r="H113" s="5">
        <f t="shared" si="4"/>
        <v>148233220.72</v>
      </c>
      <c r="I113" s="5">
        <f t="shared" si="5"/>
        <v>21566779.280000001</v>
      </c>
      <c r="J113" s="5">
        <v>2500000</v>
      </c>
      <c r="K113" s="5">
        <v>16730000</v>
      </c>
      <c r="L113" s="5">
        <v>16980000</v>
      </c>
      <c r="M113" s="7">
        <v>4728.8</v>
      </c>
      <c r="N113" s="5">
        <v>167500000</v>
      </c>
      <c r="O113" s="5">
        <v>170000000</v>
      </c>
      <c r="P113" s="3">
        <v>0.97916666666666663</v>
      </c>
    </row>
    <row r="114" spans="1:16" x14ac:dyDescent="0.25">
      <c r="A114" t="s">
        <v>87</v>
      </c>
      <c r="B114" s="2">
        <v>46135</v>
      </c>
      <c r="C114" t="str">
        <f t="shared" si="3"/>
        <v>04</v>
      </c>
      <c r="D114" t="s">
        <v>16</v>
      </c>
      <c r="E114" t="s">
        <v>159</v>
      </c>
      <c r="F114" s="5">
        <v>166500000</v>
      </c>
      <c r="G114" s="5">
        <v>169000000</v>
      </c>
      <c r="H114" s="5">
        <f t="shared" si="4"/>
        <v>148104698.43000001</v>
      </c>
      <c r="I114" s="5">
        <f t="shared" si="5"/>
        <v>20895301.569999993</v>
      </c>
      <c r="J114" s="5">
        <v>2500000</v>
      </c>
      <c r="K114" s="5">
        <v>16650000</v>
      </c>
      <c r="L114" s="5">
        <v>16900000</v>
      </c>
      <c r="M114" s="7">
        <v>4724.7</v>
      </c>
      <c r="N114" s="5">
        <v>166700000</v>
      </c>
      <c r="O114" s="5">
        <v>169200000</v>
      </c>
      <c r="P114" s="3">
        <v>0.97916666666666663</v>
      </c>
    </row>
    <row r="115" spans="1:16" x14ac:dyDescent="0.25">
      <c r="A115" t="s">
        <v>88</v>
      </c>
      <c r="B115" s="2">
        <v>46136</v>
      </c>
      <c r="C115" t="str">
        <f t="shared" si="3"/>
        <v>04</v>
      </c>
      <c r="D115" t="s">
        <v>17</v>
      </c>
      <c r="E115" t="s">
        <v>159</v>
      </c>
      <c r="F115" s="5">
        <v>165000000</v>
      </c>
      <c r="G115" s="5">
        <v>167500000</v>
      </c>
      <c r="H115" s="5">
        <f t="shared" si="4"/>
        <v>148123506.57000002</v>
      </c>
      <c r="I115" s="5">
        <f t="shared" si="5"/>
        <v>19376493.429999977</v>
      </c>
      <c r="J115" s="5">
        <v>2500000</v>
      </c>
      <c r="K115" s="5">
        <v>16500000</v>
      </c>
      <c r="L115" s="5">
        <v>16750000</v>
      </c>
      <c r="M115" s="7">
        <v>4725.3</v>
      </c>
      <c r="N115" s="5">
        <v>165500000</v>
      </c>
      <c r="O115" s="5">
        <v>168000000</v>
      </c>
      <c r="P115" s="3">
        <v>0.97916666666666663</v>
      </c>
    </row>
    <row r="116" spans="1:16" x14ac:dyDescent="0.25">
      <c r="A116" t="s">
        <v>89</v>
      </c>
      <c r="B116" s="2">
        <v>46137</v>
      </c>
      <c r="C116" t="str">
        <f t="shared" si="3"/>
        <v>04</v>
      </c>
      <c r="D116" t="s">
        <v>18</v>
      </c>
      <c r="E116" t="s">
        <v>159</v>
      </c>
      <c r="F116" s="5">
        <v>165800000</v>
      </c>
      <c r="G116" s="5">
        <v>168300000</v>
      </c>
      <c r="H116" s="5">
        <f t="shared" si="4"/>
        <v>147668976.52000001</v>
      </c>
      <c r="I116" s="5">
        <f t="shared" si="5"/>
        <v>20631023.479999989</v>
      </c>
      <c r="J116" s="5">
        <v>2500000</v>
      </c>
      <c r="K116" s="5">
        <v>16580000</v>
      </c>
      <c r="L116" s="5">
        <v>16830000</v>
      </c>
      <c r="M116" s="7">
        <v>4710.8</v>
      </c>
      <c r="N116" s="5">
        <v>166300000</v>
      </c>
      <c r="O116" s="5">
        <v>168800000</v>
      </c>
      <c r="P116" s="3">
        <v>0.39583333333333331</v>
      </c>
    </row>
    <row r="117" spans="1:16" x14ac:dyDescent="0.25">
      <c r="A117" t="s">
        <v>90</v>
      </c>
      <c r="B117" s="2">
        <v>46138</v>
      </c>
      <c r="C117" t="str">
        <f t="shared" si="3"/>
        <v>04</v>
      </c>
      <c r="D117" t="s">
        <v>19</v>
      </c>
      <c r="E117" t="s">
        <v>159</v>
      </c>
      <c r="F117" s="5">
        <v>165800000</v>
      </c>
      <c r="G117" s="5">
        <v>168300000</v>
      </c>
      <c r="H117" s="5">
        <f t="shared" si="4"/>
        <v>147668976.52000001</v>
      </c>
      <c r="I117" s="5">
        <f t="shared" si="5"/>
        <v>20631023.479999989</v>
      </c>
      <c r="J117" s="5">
        <v>2500000</v>
      </c>
      <c r="K117" s="5">
        <v>16580000</v>
      </c>
      <c r="L117" s="5">
        <v>16830000</v>
      </c>
      <c r="M117" s="7">
        <v>4710.8</v>
      </c>
      <c r="N117" s="5">
        <v>166300000</v>
      </c>
      <c r="O117" s="5">
        <v>168800000</v>
      </c>
      <c r="P117" s="3">
        <v>0</v>
      </c>
    </row>
    <row r="118" spans="1:16" x14ac:dyDescent="0.25">
      <c r="A118" t="s">
        <v>91</v>
      </c>
      <c r="B118" s="2">
        <v>46139</v>
      </c>
      <c r="C118" t="str">
        <f t="shared" si="3"/>
        <v>04</v>
      </c>
      <c r="D118" t="s">
        <v>20</v>
      </c>
      <c r="E118" t="s">
        <v>159</v>
      </c>
      <c r="F118" s="5">
        <v>165800000</v>
      </c>
      <c r="G118" s="5">
        <v>168300000</v>
      </c>
      <c r="H118" s="5">
        <f t="shared" si="4"/>
        <v>146596912.54000002</v>
      </c>
      <c r="I118" s="5">
        <f t="shared" si="5"/>
        <v>21703087.459999979</v>
      </c>
      <c r="J118" s="5">
        <v>2500000</v>
      </c>
      <c r="K118" s="5">
        <v>16580000</v>
      </c>
      <c r="L118" s="5">
        <v>16830000</v>
      </c>
      <c r="M118" s="7">
        <v>4676.6000000000004</v>
      </c>
      <c r="N118" s="5">
        <v>166300000</v>
      </c>
      <c r="O118" s="5">
        <v>168800000</v>
      </c>
      <c r="P118" s="3">
        <v>0.97916666666666663</v>
      </c>
    </row>
    <row r="119" spans="1:16" x14ac:dyDescent="0.25">
      <c r="A119" t="s">
        <v>92</v>
      </c>
      <c r="B119" s="2">
        <v>46140</v>
      </c>
      <c r="C119" t="str">
        <f t="shared" si="3"/>
        <v>04</v>
      </c>
      <c r="D119" t="s">
        <v>21</v>
      </c>
      <c r="E119" t="s">
        <v>159</v>
      </c>
      <c r="F119" s="5">
        <v>165800000</v>
      </c>
      <c r="G119" s="5">
        <v>168300000</v>
      </c>
      <c r="H119" s="5">
        <f t="shared" si="4"/>
        <v>143747479.33000001</v>
      </c>
      <c r="I119" s="5">
        <f t="shared" si="5"/>
        <v>24552520.669999987</v>
      </c>
      <c r="J119" s="5">
        <v>2500000</v>
      </c>
      <c r="K119" s="5">
        <v>16580000</v>
      </c>
      <c r="L119" s="5">
        <v>16830000</v>
      </c>
      <c r="M119" s="7">
        <v>4585.7</v>
      </c>
      <c r="N119" s="5">
        <v>166300000</v>
      </c>
      <c r="O119" s="5">
        <v>168800000</v>
      </c>
      <c r="P119" s="3">
        <v>0.97916666666666663</v>
      </c>
    </row>
    <row r="120" spans="1:16" x14ac:dyDescent="0.25">
      <c r="A120" t="s">
        <v>93</v>
      </c>
      <c r="B120" s="2">
        <v>46141</v>
      </c>
      <c r="C120" t="str">
        <f t="shared" si="3"/>
        <v>04</v>
      </c>
      <c r="D120" t="s">
        <v>22</v>
      </c>
      <c r="E120" t="s">
        <v>159</v>
      </c>
      <c r="F120" s="5">
        <v>165800000</v>
      </c>
      <c r="G120" s="5">
        <v>168300000</v>
      </c>
      <c r="H120" s="5">
        <f t="shared" si="4"/>
        <v>143089194.43000001</v>
      </c>
      <c r="I120" s="5">
        <f t="shared" si="5"/>
        <v>25210805.569999993</v>
      </c>
      <c r="J120" s="5">
        <v>2500000</v>
      </c>
      <c r="K120" s="5">
        <v>16580000</v>
      </c>
      <c r="L120" s="5">
        <v>16830000</v>
      </c>
      <c r="M120" s="7">
        <v>4564.7</v>
      </c>
      <c r="N120" s="5">
        <v>166300000</v>
      </c>
      <c r="O120" s="5">
        <v>168800000</v>
      </c>
      <c r="P120" s="3">
        <v>0.97916666666666663</v>
      </c>
    </row>
    <row r="121" spans="1:16" x14ac:dyDescent="0.25">
      <c r="A121" t="s">
        <v>94</v>
      </c>
      <c r="B121" s="2">
        <v>46142</v>
      </c>
      <c r="C121" t="str">
        <f t="shared" si="3"/>
        <v>04</v>
      </c>
      <c r="D121" t="s">
        <v>16</v>
      </c>
      <c r="E121" t="s">
        <v>159</v>
      </c>
      <c r="F121" s="5">
        <v>162500000</v>
      </c>
      <c r="G121" s="5">
        <v>165500000</v>
      </c>
      <c r="H121" s="5">
        <f t="shared" si="4"/>
        <v>144506074.31</v>
      </c>
      <c r="I121" s="5">
        <f t="shared" si="5"/>
        <v>20993925.689999998</v>
      </c>
      <c r="J121" s="5">
        <v>3000000</v>
      </c>
      <c r="K121" s="5">
        <v>16250000</v>
      </c>
      <c r="L121" s="5">
        <v>16550000</v>
      </c>
      <c r="M121" s="7">
        <v>4609.8999999999996</v>
      </c>
      <c r="N121" s="5">
        <v>163000000</v>
      </c>
      <c r="O121" s="5">
        <v>166000000</v>
      </c>
      <c r="P121" s="3">
        <v>0.97916666666666663</v>
      </c>
    </row>
    <row r="122" spans="1:16" x14ac:dyDescent="0.25">
      <c r="A122" s="2">
        <v>46027</v>
      </c>
      <c r="B122" s="2">
        <v>46143</v>
      </c>
      <c r="C122" t="str">
        <f t="shared" si="3"/>
        <v>05</v>
      </c>
      <c r="D122" t="s">
        <v>17</v>
      </c>
      <c r="E122" t="s">
        <v>159</v>
      </c>
      <c r="F122" s="5">
        <v>162500000</v>
      </c>
      <c r="G122" s="5">
        <v>165500000</v>
      </c>
      <c r="H122" s="5">
        <f t="shared" si="4"/>
        <v>145496636.35000002</v>
      </c>
      <c r="I122" s="5">
        <f t="shared" si="5"/>
        <v>20003363.649999976</v>
      </c>
      <c r="J122" s="5">
        <v>3000000</v>
      </c>
      <c r="K122" s="5">
        <v>16250000</v>
      </c>
      <c r="L122" s="5">
        <v>16550000</v>
      </c>
      <c r="M122" s="7">
        <v>4641.5</v>
      </c>
      <c r="N122" s="5">
        <v>163000000</v>
      </c>
      <c r="O122" s="5">
        <v>166000000</v>
      </c>
      <c r="P122" s="3">
        <v>0.97916666666666663</v>
      </c>
    </row>
    <row r="123" spans="1:16" x14ac:dyDescent="0.25">
      <c r="A123" s="2">
        <v>46058</v>
      </c>
      <c r="B123" s="2">
        <v>46144</v>
      </c>
      <c r="C123" t="str">
        <f t="shared" si="3"/>
        <v>05</v>
      </c>
      <c r="D123" t="s">
        <v>18</v>
      </c>
      <c r="E123" t="s">
        <v>159</v>
      </c>
      <c r="F123" s="5">
        <v>162500000</v>
      </c>
      <c r="G123" s="5">
        <v>165500000</v>
      </c>
      <c r="H123" s="5">
        <f t="shared" si="4"/>
        <v>144678482.25999999</v>
      </c>
      <c r="I123" s="5">
        <f t="shared" si="5"/>
        <v>20821517.74000001</v>
      </c>
      <c r="J123" s="5">
        <v>3000000</v>
      </c>
      <c r="K123" s="5">
        <v>16250000</v>
      </c>
      <c r="L123" s="5">
        <v>16550000</v>
      </c>
      <c r="M123" s="7">
        <v>4615.3999999999996</v>
      </c>
      <c r="N123" s="5">
        <v>163000000</v>
      </c>
      <c r="O123" s="5">
        <v>166000000</v>
      </c>
      <c r="P123" s="3">
        <v>0.1875</v>
      </c>
    </row>
    <row r="124" spans="1:16" x14ac:dyDescent="0.25">
      <c r="A124" s="2">
        <v>46086</v>
      </c>
      <c r="B124" s="2">
        <v>46145</v>
      </c>
      <c r="C124" t="str">
        <f t="shared" si="3"/>
        <v>05</v>
      </c>
      <c r="D124" t="s">
        <v>19</v>
      </c>
      <c r="E124" t="s">
        <v>159</v>
      </c>
      <c r="F124" s="5">
        <v>162500000</v>
      </c>
      <c r="G124" s="5">
        <v>165500000</v>
      </c>
      <c r="H124" s="5">
        <f t="shared" si="4"/>
        <v>144678482.25999999</v>
      </c>
      <c r="I124" s="5">
        <f t="shared" si="5"/>
        <v>20821517.74000001</v>
      </c>
      <c r="J124" s="5">
        <v>3000000</v>
      </c>
      <c r="K124" s="5">
        <v>16250000</v>
      </c>
      <c r="L124" s="5">
        <v>16550000</v>
      </c>
      <c r="M124" s="7">
        <v>4615.3999999999996</v>
      </c>
      <c r="N124" s="5">
        <v>163000000</v>
      </c>
      <c r="O124" s="5">
        <v>166000000</v>
      </c>
      <c r="P124" s="3">
        <v>0</v>
      </c>
    </row>
    <row r="125" spans="1:16" x14ac:dyDescent="0.25">
      <c r="A125" s="2">
        <v>46117</v>
      </c>
      <c r="B125" s="2">
        <v>46146</v>
      </c>
      <c r="C125" t="str">
        <f t="shared" si="3"/>
        <v>05</v>
      </c>
      <c r="D125" t="s">
        <v>20</v>
      </c>
      <c r="E125" t="s">
        <v>159</v>
      </c>
      <c r="F125" s="5">
        <v>162800000</v>
      </c>
      <c r="G125" s="5">
        <v>165800000</v>
      </c>
      <c r="H125" s="5">
        <f t="shared" si="4"/>
        <v>141540657.57000002</v>
      </c>
      <c r="I125" s="5">
        <f t="shared" si="5"/>
        <v>24259342.429999977</v>
      </c>
      <c r="J125" s="5">
        <v>3000000</v>
      </c>
      <c r="K125" s="5">
        <v>16280000</v>
      </c>
      <c r="L125" s="5">
        <v>16580000</v>
      </c>
      <c r="M125" s="7">
        <v>4515.3</v>
      </c>
      <c r="N125" s="5">
        <v>163300000</v>
      </c>
      <c r="O125" s="5">
        <v>166300000</v>
      </c>
      <c r="P125" s="3">
        <v>0.97916666666666663</v>
      </c>
    </row>
    <row r="126" spans="1:16" x14ac:dyDescent="0.25">
      <c r="A126" s="2">
        <v>46147</v>
      </c>
      <c r="B126" s="2">
        <v>46147</v>
      </c>
      <c r="C126" t="str">
        <f t="shared" si="3"/>
        <v>05</v>
      </c>
      <c r="D126" t="s">
        <v>21</v>
      </c>
      <c r="E126" t="s">
        <v>159</v>
      </c>
      <c r="F126" s="5">
        <v>161500000</v>
      </c>
      <c r="G126" s="5">
        <v>164500000</v>
      </c>
      <c r="H126" s="5">
        <f t="shared" si="4"/>
        <v>142948133.38000003</v>
      </c>
      <c r="I126" s="5">
        <f t="shared" si="5"/>
        <v>21551866.619999975</v>
      </c>
      <c r="J126" s="5">
        <v>3000000</v>
      </c>
      <c r="K126" s="5">
        <v>16150000</v>
      </c>
      <c r="L126" s="5">
        <v>16450000</v>
      </c>
      <c r="M126" s="7">
        <v>4560.2</v>
      </c>
      <c r="N126" s="5">
        <v>162000000</v>
      </c>
      <c r="O126" s="5">
        <v>165000000</v>
      </c>
      <c r="P126" s="3">
        <v>0.97916666666666663</v>
      </c>
    </row>
    <row r="127" spans="1:16" x14ac:dyDescent="0.25">
      <c r="A127" s="2">
        <v>46178</v>
      </c>
      <c r="B127" s="2">
        <v>46148</v>
      </c>
      <c r="C127" t="str">
        <f t="shared" si="3"/>
        <v>05</v>
      </c>
      <c r="D127" t="s">
        <v>22</v>
      </c>
      <c r="E127" t="s">
        <v>159</v>
      </c>
      <c r="F127" s="5">
        <v>162500000</v>
      </c>
      <c r="G127" s="5">
        <v>165500000</v>
      </c>
      <c r="H127" s="5">
        <f t="shared" si="4"/>
        <v>146982479.41</v>
      </c>
      <c r="I127" s="5">
        <f t="shared" si="5"/>
        <v>18517520.590000004</v>
      </c>
      <c r="J127" s="5">
        <v>3000000</v>
      </c>
      <c r="K127" s="5">
        <v>16250000</v>
      </c>
      <c r="L127" s="5">
        <v>16550000</v>
      </c>
      <c r="M127" s="7">
        <v>4688.8999999999996</v>
      </c>
      <c r="N127" s="5">
        <v>163000000</v>
      </c>
      <c r="O127" s="5">
        <v>166000000</v>
      </c>
      <c r="P127" s="3">
        <v>0.97916666666666663</v>
      </c>
    </row>
    <row r="128" spans="1:16" x14ac:dyDescent="0.25">
      <c r="A128" s="2">
        <v>46208</v>
      </c>
      <c r="B128" s="2">
        <v>46149</v>
      </c>
      <c r="C128" t="str">
        <f t="shared" si="3"/>
        <v>05</v>
      </c>
      <c r="D128" t="s">
        <v>16</v>
      </c>
      <c r="E128" t="s">
        <v>159</v>
      </c>
      <c r="F128" s="5">
        <v>164000000</v>
      </c>
      <c r="G128" s="5">
        <v>167000000</v>
      </c>
      <c r="H128" s="5">
        <f t="shared" si="4"/>
        <v>148082755.60000002</v>
      </c>
      <c r="I128" s="5">
        <f t="shared" si="5"/>
        <v>18917244.399999976</v>
      </c>
      <c r="J128" s="5">
        <v>3000000</v>
      </c>
      <c r="K128" s="5">
        <v>16400000</v>
      </c>
      <c r="L128" s="5">
        <v>16700000</v>
      </c>
      <c r="M128" s="7">
        <v>4724</v>
      </c>
      <c r="N128" s="5">
        <v>164500000</v>
      </c>
      <c r="O128" s="5">
        <v>167500000</v>
      </c>
      <c r="P128" s="3">
        <v>0.97916666666666663</v>
      </c>
    </row>
    <row r="129" spans="1:16" x14ac:dyDescent="0.25">
      <c r="A129" s="2">
        <v>46239</v>
      </c>
      <c r="B129" s="2">
        <v>46150</v>
      </c>
      <c r="C129" t="str">
        <f t="shared" si="3"/>
        <v>05</v>
      </c>
      <c r="D129" t="s">
        <v>17</v>
      </c>
      <c r="E129" t="s">
        <v>159</v>
      </c>
      <c r="F129" s="5">
        <v>164000000</v>
      </c>
      <c r="G129" s="5">
        <v>167000000</v>
      </c>
      <c r="H129" s="5">
        <f t="shared" si="4"/>
        <v>147860192.60999998</v>
      </c>
      <c r="I129" s="5">
        <f t="shared" si="5"/>
        <v>19139807.390000015</v>
      </c>
      <c r="J129" s="5">
        <v>3000000</v>
      </c>
      <c r="K129" s="5">
        <v>16400000</v>
      </c>
      <c r="L129" s="5">
        <v>16700000</v>
      </c>
      <c r="M129" s="7">
        <v>4716.8999999999996</v>
      </c>
      <c r="N129" s="5">
        <v>164500000</v>
      </c>
      <c r="O129" s="5">
        <v>167500000</v>
      </c>
      <c r="P129" s="3">
        <v>0.97916666666666663</v>
      </c>
    </row>
    <row r="130" spans="1:16" x14ac:dyDescent="0.25">
      <c r="A130" s="2">
        <v>46270</v>
      </c>
      <c r="B130" s="2">
        <v>46151</v>
      </c>
      <c r="C130" t="str">
        <f t="shared" ref="C130:C193" si="6">TEXT(B130,"mm")</f>
        <v>05</v>
      </c>
      <c r="D130" t="s">
        <v>18</v>
      </c>
      <c r="E130" t="s">
        <v>159</v>
      </c>
      <c r="F130" s="5">
        <v>164000000</v>
      </c>
      <c r="G130" s="5">
        <v>167000000</v>
      </c>
      <c r="H130" s="5">
        <f t="shared" ref="H130:H193" si="7">M130*26000*1.20565</f>
        <v>147822576.33000001</v>
      </c>
      <c r="I130" s="5">
        <f t="shared" ref="I130:I193" si="8">G130-H130</f>
        <v>19177423.669999987</v>
      </c>
      <c r="J130" s="5">
        <v>3000000</v>
      </c>
      <c r="K130" s="5">
        <v>16400000</v>
      </c>
      <c r="L130" s="5">
        <v>16700000</v>
      </c>
      <c r="M130" s="7">
        <v>4715.7</v>
      </c>
      <c r="N130" s="5">
        <v>164500000</v>
      </c>
      <c r="O130" s="5">
        <v>167500000</v>
      </c>
      <c r="P130" s="3">
        <v>0.1875</v>
      </c>
    </row>
    <row r="131" spans="1:16" x14ac:dyDescent="0.25">
      <c r="A131" s="2">
        <v>46300</v>
      </c>
      <c r="B131" s="2">
        <v>46152</v>
      </c>
      <c r="C131" t="str">
        <f t="shared" si="6"/>
        <v>05</v>
      </c>
      <c r="D131" t="s">
        <v>19</v>
      </c>
      <c r="E131" t="s">
        <v>159</v>
      </c>
      <c r="F131" s="5">
        <v>164000000</v>
      </c>
      <c r="G131" s="5">
        <v>167000000</v>
      </c>
      <c r="H131" s="5">
        <f t="shared" si="7"/>
        <v>147822576.33000001</v>
      </c>
      <c r="I131" s="5">
        <f t="shared" si="8"/>
        <v>19177423.669999987</v>
      </c>
      <c r="J131" s="5">
        <v>3000000</v>
      </c>
      <c r="K131" s="5">
        <v>16400000</v>
      </c>
      <c r="L131" s="5">
        <v>16700000</v>
      </c>
      <c r="M131" s="7">
        <v>4715.7</v>
      </c>
      <c r="N131" s="5">
        <v>164500000</v>
      </c>
      <c r="O131" s="5">
        <v>167500000</v>
      </c>
      <c r="P131" s="3">
        <v>0</v>
      </c>
    </row>
    <row r="132" spans="1:16" x14ac:dyDescent="0.25">
      <c r="A132" s="2">
        <v>46331</v>
      </c>
      <c r="B132" s="2">
        <v>46153</v>
      </c>
      <c r="C132" t="str">
        <f t="shared" si="6"/>
        <v>05</v>
      </c>
      <c r="D132" t="s">
        <v>20</v>
      </c>
      <c r="E132" t="s">
        <v>159</v>
      </c>
      <c r="F132" s="5">
        <v>161700000</v>
      </c>
      <c r="G132" s="5">
        <v>164700000</v>
      </c>
      <c r="H132" s="5">
        <f t="shared" si="7"/>
        <v>148142314.71000001</v>
      </c>
      <c r="I132" s="5">
        <f t="shared" si="8"/>
        <v>16557685.289999992</v>
      </c>
      <c r="J132" s="5">
        <v>3000000</v>
      </c>
      <c r="K132" s="5">
        <v>16170000</v>
      </c>
      <c r="L132" s="5">
        <v>16470000</v>
      </c>
      <c r="M132" s="7">
        <v>4725.8999999999996</v>
      </c>
      <c r="N132" s="5">
        <v>162200000</v>
      </c>
      <c r="O132" s="5">
        <v>165200000</v>
      </c>
      <c r="P132" s="3">
        <v>0.97916666666666663</v>
      </c>
    </row>
    <row r="133" spans="1:16" x14ac:dyDescent="0.25">
      <c r="A133" s="2">
        <v>46361</v>
      </c>
      <c r="B133" s="2">
        <v>46154</v>
      </c>
      <c r="C133" t="str">
        <f t="shared" si="6"/>
        <v>05</v>
      </c>
      <c r="D133" t="s">
        <v>21</v>
      </c>
      <c r="E133" t="s">
        <v>159</v>
      </c>
      <c r="F133" s="5">
        <v>162300000</v>
      </c>
      <c r="G133" s="5">
        <v>165300000</v>
      </c>
      <c r="H133" s="5">
        <f t="shared" si="7"/>
        <v>146408831.14000005</v>
      </c>
      <c r="I133" s="5">
        <f t="shared" si="8"/>
        <v>18891168.859999955</v>
      </c>
      <c r="J133" s="5">
        <v>3000000</v>
      </c>
      <c r="K133" s="5">
        <v>16230000</v>
      </c>
      <c r="L133" s="5">
        <v>16530000</v>
      </c>
      <c r="M133" s="7">
        <v>4670.6000000000004</v>
      </c>
      <c r="N133" s="5">
        <v>162500000</v>
      </c>
      <c r="O133" s="5">
        <v>165500000</v>
      </c>
      <c r="P133" s="3">
        <v>0.97916666666666663</v>
      </c>
    </row>
    <row r="134" spans="1:16" x14ac:dyDescent="0.25">
      <c r="A134" t="s">
        <v>95</v>
      </c>
      <c r="B134" s="2">
        <v>46155</v>
      </c>
      <c r="C134" t="str">
        <f t="shared" si="6"/>
        <v>05</v>
      </c>
      <c r="D134" t="s">
        <v>22</v>
      </c>
      <c r="E134" t="s">
        <v>159</v>
      </c>
      <c r="F134" s="5">
        <v>161800000</v>
      </c>
      <c r="G134" s="5">
        <v>164800000</v>
      </c>
      <c r="H134" s="5">
        <f t="shared" si="7"/>
        <v>147668976.52000001</v>
      </c>
      <c r="I134" s="5">
        <f t="shared" si="8"/>
        <v>17131023.479999989</v>
      </c>
      <c r="J134" s="5">
        <v>3000000</v>
      </c>
      <c r="K134" s="5">
        <v>16180000</v>
      </c>
      <c r="L134" s="5">
        <v>16480000</v>
      </c>
      <c r="M134" s="7">
        <v>4710.8</v>
      </c>
      <c r="N134" s="5">
        <v>162000000</v>
      </c>
      <c r="O134" s="5">
        <v>165000000</v>
      </c>
      <c r="P134" s="3">
        <v>0.97916666666666663</v>
      </c>
    </row>
    <row r="135" spans="1:16" x14ac:dyDescent="0.25">
      <c r="A135" t="s">
        <v>96</v>
      </c>
      <c r="B135" s="2">
        <v>46156</v>
      </c>
      <c r="C135" t="str">
        <f t="shared" si="6"/>
        <v>05</v>
      </c>
      <c r="D135" t="s">
        <v>16</v>
      </c>
      <c r="E135" t="s">
        <v>159</v>
      </c>
      <c r="F135" s="5">
        <v>161800000</v>
      </c>
      <c r="G135" s="5">
        <v>164800000</v>
      </c>
      <c r="H135" s="5">
        <f t="shared" si="7"/>
        <v>146631394.13000003</v>
      </c>
      <c r="I135" s="5">
        <f t="shared" si="8"/>
        <v>18168605.869999975</v>
      </c>
      <c r="J135" s="5">
        <v>3000000</v>
      </c>
      <c r="K135" s="5">
        <v>16180000</v>
      </c>
      <c r="L135" s="5">
        <v>16480000</v>
      </c>
      <c r="M135" s="7">
        <v>4677.7</v>
      </c>
      <c r="N135" s="5">
        <v>162000000</v>
      </c>
      <c r="O135" s="5">
        <v>165000000</v>
      </c>
      <c r="P135" s="3">
        <v>0.97916666666666663</v>
      </c>
    </row>
    <row r="136" spans="1:16" x14ac:dyDescent="0.25">
      <c r="A136" t="s">
        <v>97</v>
      </c>
      <c r="B136" s="2">
        <v>46157</v>
      </c>
      <c r="C136" t="str">
        <f t="shared" si="6"/>
        <v>05</v>
      </c>
      <c r="D136" t="s">
        <v>17</v>
      </c>
      <c r="E136" t="s">
        <v>159</v>
      </c>
      <c r="F136" s="5">
        <v>160800000</v>
      </c>
      <c r="G136" s="5">
        <v>163800000</v>
      </c>
      <c r="H136" s="5">
        <f t="shared" si="7"/>
        <v>142343138.21000001</v>
      </c>
      <c r="I136" s="5">
        <f t="shared" si="8"/>
        <v>21456861.789999992</v>
      </c>
      <c r="J136" s="5">
        <v>3000000</v>
      </c>
      <c r="K136" s="5">
        <v>16080000</v>
      </c>
      <c r="L136" s="5">
        <v>16380000</v>
      </c>
      <c r="M136" s="7">
        <v>4540.8999999999996</v>
      </c>
      <c r="N136" s="5">
        <v>161000000</v>
      </c>
      <c r="O136" s="5">
        <v>164000000</v>
      </c>
      <c r="P136" s="3">
        <v>0.97916666666666663</v>
      </c>
    </row>
    <row r="137" spans="1:16" x14ac:dyDescent="0.25">
      <c r="A137" t="s">
        <v>98</v>
      </c>
      <c r="B137" s="2">
        <v>46158</v>
      </c>
      <c r="C137" t="str">
        <f t="shared" si="6"/>
        <v>05</v>
      </c>
      <c r="D137" t="s">
        <v>18</v>
      </c>
      <c r="E137" t="s">
        <v>159</v>
      </c>
      <c r="F137" s="5">
        <v>160300000</v>
      </c>
      <c r="G137" s="5">
        <v>163300000</v>
      </c>
      <c r="H137" s="5">
        <f t="shared" si="7"/>
        <v>142352542.28</v>
      </c>
      <c r="I137" s="5">
        <f t="shared" si="8"/>
        <v>20947457.719999999</v>
      </c>
      <c r="J137" s="5">
        <v>3000000</v>
      </c>
      <c r="K137" s="5">
        <v>16030000</v>
      </c>
      <c r="L137" s="5">
        <v>16330000</v>
      </c>
      <c r="M137" s="7">
        <v>4541.2</v>
      </c>
      <c r="N137" s="5">
        <v>160500000</v>
      </c>
      <c r="O137" s="5">
        <v>163500000</v>
      </c>
      <c r="P137" s="3">
        <v>0.47916666666666669</v>
      </c>
    </row>
    <row r="138" spans="1:16" x14ac:dyDescent="0.25">
      <c r="A138" t="s">
        <v>99</v>
      </c>
      <c r="B138" s="2">
        <v>46159</v>
      </c>
      <c r="C138" t="str">
        <f t="shared" si="6"/>
        <v>05</v>
      </c>
      <c r="D138" t="s">
        <v>19</v>
      </c>
      <c r="E138" t="s">
        <v>159</v>
      </c>
      <c r="F138" s="5">
        <v>160300000</v>
      </c>
      <c r="G138" s="5">
        <v>163300000</v>
      </c>
      <c r="H138" s="5">
        <f t="shared" si="7"/>
        <v>142352542.28</v>
      </c>
      <c r="I138" s="5">
        <f t="shared" si="8"/>
        <v>20947457.719999999</v>
      </c>
      <c r="J138" s="5">
        <v>3000000</v>
      </c>
      <c r="K138" s="5">
        <v>16030000</v>
      </c>
      <c r="L138" s="5">
        <v>16330000</v>
      </c>
      <c r="M138" s="7">
        <v>4541.2</v>
      </c>
      <c r="N138" s="5">
        <v>160500000</v>
      </c>
      <c r="O138" s="5">
        <v>163500000</v>
      </c>
      <c r="P138" s="3">
        <v>0</v>
      </c>
    </row>
    <row r="139" spans="1:16" x14ac:dyDescent="0.25">
      <c r="A139" t="s">
        <v>100</v>
      </c>
      <c r="B139" s="2">
        <v>46160</v>
      </c>
      <c r="C139" t="str">
        <f t="shared" si="6"/>
        <v>05</v>
      </c>
      <c r="D139" t="s">
        <v>20</v>
      </c>
      <c r="E139" t="s">
        <v>159</v>
      </c>
      <c r="F139" s="5">
        <v>160300000</v>
      </c>
      <c r="G139" s="5">
        <v>163300000</v>
      </c>
      <c r="H139" s="5">
        <f t="shared" si="7"/>
        <v>142352542.28</v>
      </c>
      <c r="I139" s="5">
        <f t="shared" si="8"/>
        <v>20947457.719999999</v>
      </c>
      <c r="J139" s="5">
        <v>3000000</v>
      </c>
      <c r="K139" s="5">
        <v>16030000</v>
      </c>
      <c r="L139" s="5">
        <v>16330000</v>
      </c>
      <c r="M139" s="7">
        <v>4541.2</v>
      </c>
      <c r="N139" s="5">
        <v>161300000</v>
      </c>
      <c r="O139" s="5">
        <v>163800000</v>
      </c>
      <c r="P139" s="3">
        <v>0.97916666666666663</v>
      </c>
    </row>
    <row r="140" spans="1:16" x14ac:dyDescent="0.25">
      <c r="A140" t="s">
        <v>101</v>
      </c>
      <c r="B140" s="2">
        <v>46161</v>
      </c>
      <c r="C140" t="str">
        <f t="shared" si="6"/>
        <v>05</v>
      </c>
      <c r="D140" t="s">
        <v>21</v>
      </c>
      <c r="E140" t="s">
        <v>159</v>
      </c>
      <c r="F140" s="5">
        <v>160300000</v>
      </c>
      <c r="G140" s="5">
        <v>163300000</v>
      </c>
      <c r="H140" s="5">
        <f t="shared" si="7"/>
        <v>141358845.55000001</v>
      </c>
      <c r="I140" s="5">
        <f t="shared" si="8"/>
        <v>21941154.449999988</v>
      </c>
      <c r="J140" s="5">
        <v>3000000</v>
      </c>
      <c r="K140" s="5">
        <v>16030000</v>
      </c>
      <c r="L140" s="5">
        <v>16330000</v>
      </c>
      <c r="M140" s="7">
        <v>4509.5</v>
      </c>
      <c r="N140" s="5">
        <v>161000000</v>
      </c>
      <c r="O140" s="5">
        <v>163500000</v>
      </c>
      <c r="P140" s="3">
        <v>0.97916666666666663</v>
      </c>
    </row>
    <row r="141" spans="1:16" x14ac:dyDescent="0.25">
      <c r="A141" t="s">
        <v>102</v>
      </c>
      <c r="B141" s="2">
        <v>46162</v>
      </c>
      <c r="C141" t="str">
        <f t="shared" si="6"/>
        <v>05</v>
      </c>
      <c r="D141" t="s">
        <v>22</v>
      </c>
      <c r="E141" t="s">
        <v>159</v>
      </c>
      <c r="F141" s="5">
        <v>158000000</v>
      </c>
      <c r="G141" s="5">
        <v>161000000</v>
      </c>
      <c r="H141" s="5">
        <f t="shared" si="7"/>
        <v>141951301.96000001</v>
      </c>
      <c r="I141" s="5">
        <f t="shared" si="8"/>
        <v>19048698.039999992</v>
      </c>
      <c r="J141" s="5">
        <v>3000000</v>
      </c>
      <c r="K141" s="5">
        <v>15800000</v>
      </c>
      <c r="L141" s="5">
        <v>16100000</v>
      </c>
      <c r="M141" s="7">
        <v>4528.3999999999996</v>
      </c>
      <c r="N141" s="5">
        <v>159000000</v>
      </c>
      <c r="O141" s="5">
        <v>162000000</v>
      </c>
      <c r="P141" s="3">
        <v>0.97916666666666663</v>
      </c>
    </row>
    <row r="142" spans="1:16" x14ac:dyDescent="0.25">
      <c r="A142" t="s">
        <v>103</v>
      </c>
      <c r="B142" s="2">
        <v>46163</v>
      </c>
      <c r="C142" t="str">
        <f t="shared" si="6"/>
        <v>05</v>
      </c>
      <c r="D142" t="s">
        <v>16</v>
      </c>
      <c r="E142" t="s">
        <v>159</v>
      </c>
      <c r="F142" s="5">
        <v>158900000</v>
      </c>
      <c r="G142" s="5">
        <v>161900000</v>
      </c>
      <c r="H142" s="5">
        <f t="shared" si="7"/>
        <v>141637832.96000001</v>
      </c>
      <c r="I142" s="5">
        <f t="shared" si="8"/>
        <v>20262167.039999992</v>
      </c>
      <c r="J142" s="5">
        <v>3000000</v>
      </c>
      <c r="K142" s="5">
        <v>15890000</v>
      </c>
      <c r="L142" s="5">
        <v>16190000</v>
      </c>
      <c r="M142" s="7">
        <v>4518.3999999999996</v>
      </c>
      <c r="N142" s="5">
        <v>159400000</v>
      </c>
      <c r="O142" s="5">
        <v>162400000</v>
      </c>
      <c r="P142" s="3">
        <v>0.97916666666666663</v>
      </c>
    </row>
    <row r="143" spans="1:16" x14ac:dyDescent="0.25">
      <c r="A143" t="s">
        <v>104</v>
      </c>
      <c r="B143" s="2">
        <v>46164</v>
      </c>
      <c r="C143" t="str">
        <f t="shared" si="6"/>
        <v>05</v>
      </c>
      <c r="D143" t="s">
        <v>17</v>
      </c>
      <c r="E143" t="s">
        <v>159</v>
      </c>
      <c r="F143" s="5">
        <v>158500000</v>
      </c>
      <c r="G143" s="5">
        <v>161500000</v>
      </c>
      <c r="H143" s="5">
        <f t="shared" si="7"/>
        <v>141813375.60000002</v>
      </c>
      <c r="I143" s="5">
        <f t="shared" si="8"/>
        <v>19686624.399999976</v>
      </c>
      <c r="J143" s="5">
        <v>3000000</v>
      </c>
      <c r="K143" s="5">
        <v>15850000</v>
      </c>
      <c r="L143" s="5">
        <v>16150000</v>
      </c>
      <c r="M143" s="7">
        <v>4524</v>
      </c>
      <c r="N143" s="5">
        <v>159000000</v>
      </c>
      <c r="O143" s="5">
        <v>162000000</v>
      </c>
      <c r="P143" s="3">
        <v>0.97916666666666663</v>
      </c>
    </row>
    <row r="144" spans="1:16" x14ac:dyDescent="0.25">
      <c r="A144" t="s">
        <v>105</v>
      </c>
      <c r="B144" s="2">
        <v>46165</v>
      </c>
      <c r="C144" t="str">
        <f t="shared" si="6"/>
        <v>05</v>
      </c>
      <c r="D144" t="s">
        <v>18</v>
      </c>
      <c r="E144" t="s">
        <v>159</v>
      </c>
      <c r="F144" s="5">
        <v>158000000</v>
      </c>
      <c r="G144" s="5">
        <v>161000000</v>
      </c>
      <c r="H144" s="5">
        <f t="shared" si="7"/>
        <v>141390192.45000002</v>
      </c>
      <c r="I144" s="5">
        <f t="shared" si="8"/>
        <v>19609807.549999982</v>
      </c>
      <c r="J144" s="5">
        <v>3000000</v>
      </c>
      <c r="K144" s="5">
        <v>15800000</v>
      </c>
      <c r="L144" s="5">
        <v>16100000</v>
      </c>
      <c r="M144" s="7">
        <v>4510.5</v>
      </c>
      <c r="N144" s="5">
        <v>158500000</v>
      </c>
      <c r="O144" s="5">
        <v>161500000</v>
      </c>
      <c r="P144" s="3">
        <v>0.39583333333333331</v>
      </c>
    </row>
    <row r="145" spans="1:16" x14ac:dyDescent="0.25">
      <c r="A145" t="s">
        <v>106</v>
      </c>
      <c r="B145" s="2">
        <v>46166</v>
      </c>
      <c r="C145" t="str">
        <f t="shared" si="6"/>
        <v>05</v>
      </c>
      <c r="D145" t="s">
        <v>19</v>
      </c>
      <c r="E145" t="s">
        <v>159</v>
      </c>
      <c r="F145" s="5">
        <v>158000000</v>
      </c>
      <c r="G145" s="5">
        <v>161000000</v>
      </c>
      <c r="H145" s="5">
        <f t="shared" si="7"/>
        <v>141390192.45000002</v>
      </c>
      <c r="I145" s="5">
        <f t="shared" si="8"/>
        <v>19609807.549999982</v>
      </c>
      <c r="J145" s="5">
        <v>3000000</v>
      </c>
      <c r="K145" s="5">
        <v>15800000</v>
      </c>
      <c r="L145" s="5">
        <v>16100000</v>
      </c>
      <c r="M145" s="7">
        <v>4510.5</v>
      </c>
      <c r="N145" s="5">
        <v>158500000</v>
      </c>
      <c r="O145" s="5">
        <v>161500000</v>
      </c>
      <c r="P145" s="3">
        <v>0</v>
      </c>
    </row>
    <row r="146" spans="1:16" x14ac:dyDescent="0.25">
      <c r="A146" t="s">
        <v>107</v>
      </c>
      <c r="B146" s="2">
        <v>46167</v>
      </c>
      <c r="C146" t="str">
        <f t="shared" si="6"/>
        <v>05</v>
      </c>
      <c r="D146" t="s">
        <v>20</v>
      </c>
      <c r="E146" t="s">
        <v>159</v>
      </c>
      <c r="F146" s="5">
        <v>158500000</v>
      </c>
      <c r="G146" s="5">
        <v>161500000</v>
      </c>
      <c r="H146" s="5">
        <f t="shared" si="7"/>
        <v>143283545.21000001</v>
      </c>
      <c r="I146" s="5">
        <f t="shared" si="8"/>
        <v>18216454.789999992</v>
      </c>
      <c r="J146" s="5">
        <v>3000000</v>
      </c>
      <c r="K146" s="5">
        <v>15850000</v>
      </c>
      <c r="L146" s="5">
        <v>16150000</v>
      </c>
      <c r="M146" s="7">
        <v>4570.8999999999996</v>
      </c>
      <c r="N146" s="5">
        <v>159000000</v>
      </c>
      <c r="O146" s="5">
        <v>162000000</v>
      </c>
      <c r="P146" s="3">
        <v>0.97916666666666663</v>
      </c>
    </row>
    <row r="147" spans="1:16" x14ac:dyDescent="0.25">
      <c r="A147" t="s">
        <v>108</v>
      </c>
      <c r="B147" s="2">
        <v>46168</v>
      </c>
      <c r="C147" t="str">
        <f t="shared" si="6"/>
        <v>05</v>
      </c>
      <c r="D147" t="s">
        <v>21</v>
      </c>
      <c r="E147" t="s">
        <v>159</v>
      </c>
      <c r="F147" s="5">
        <v>158000000</v>
      </c>
      <c r="G147" s="5">
        <v>161000000</v>
      </c>
      <c r="H147" s="5">
        <f t="shared" si="7"/>
        <v>141343172.10000002</v>
      </c>
      <c r="I147" s="5">
        <f t="shared" si="8"/>
        <v>19656827.899999976</v>
      </c>
      <c r="J147" s="5">
        <v>3000000</v>
      </c>
      <c r="K147" s="5">
        <v>15800000</v>
      </c>
      <c r="L147" s="5">
        <v>16100000</v>
      </c>
      <c r="M147" s="7">
        <v>4509</v>
      </c>
      <c r="N147" s="5">
        <v>158500000</v>
      </c>
      <c r="O147" s="5">
        <v>161500000</v>
      </c>
      <c r="P147" s="3">
        <v>0.97916666666666663</v>
      </c>
    </row>
    <row r="148" spans="1:16" x14ac:dyDescent="0.25">
      <c r="A148" t="s">
        <v>109</v>
      </c>
      <c r="B148" s="2">
        <v>46169</v>
      </c>
      <c r="C148" t="str">
        <f t="shared" si="6"/>
        <v>05</v>
      </c>
      <c r="D148" t="s">
        <v>22</v>
      </c>
      <c r="E148" t="s">
        <v>159</v>
      </c>
      <c r="F148" s="5">
        <v>157200000</v>
      </c>
      <c r="G148" s="5">
        <v>160200000</v>
      </c>
      <c r="H148" s="5">
        <f t="shared" si="7"/>
        <v>139402798.99000004</v>
      </c>
      <c r="I148" s="5">
        <f t="shared" si="8"/>
        <v>20797201.009999961</v>
      </c>
      <c r="J148" s="5">
        <v>3000000</v>
      </c>
      <c r="K148" s="5">
        <v>15720000</v>
      </c>
      <c r="L148" s="5">
        <v>16020000</v>
      </c>
      <c r="M148" s="7">
        <v>4447.1000000000004</v>
      </c>
      <c r="N148" s="5">
        <v>157700000</v>
      </c>
      <c r="O148" s="5">
        <v>160700000</v>
      </c>
      <c r="P148" s="3">
        <v>0.97916666666666663</v>
      </c>
    </row>
    <row r="149" spans="1:16" x14ac:dyDescent="0.25">
      <c r="A149" t="s">
        <v>110</v>
      </c>
      <c r="B149" s="2">
        <v>46170</v>
      </c>
      <c r="C149" t="str">
        <f t="shared" si="6"/>
        <v>05</v>
      </c>
      <c r="D149" t="s">
        <v>16</v>
      </c>
      <c r="E149" t="s">
        <v>159</v>
      </c>
      <c r="F149" s="5">
        <v>154300000</v>
      </c>
      <c r="G149" s="5">
        <v>157300000</v>
      </c>
      <c r="H149" s="5">
        <f t="shared" si="7"/>
        <v>141108070.35000002</v>
      </c>
      <c r="I149" s="5">
        <f t="shared" si="8"/>
        <v>16191929.649999976</v>
      </c>
      <c r="J149" s="5">
        <v>3000000</v>
      </c>
      <c r="K149" s="5">
        <v>15430000</v>
      </c>
      <c r="L149" s="5">
        <v>15730000</v>
      </c>
      <c r="M149" s="7">
        <v>4501.5</v>
      </c>
      <c r="N149" s="5">
        <v>154500000</v>
      </c>
      <c r="O149" s="5">
        <v>157500000</v>
      </c>
      <c r="P149" s="3">
        <v>0.97916666666666663</v>
      </c>
    </row>
    <row r="150" spans="1:16" x14ac:dyDescent="0.25">
      <c r="A150" t="s">
        <v>111</v>
      </c>
      <c r="B150" s="2">
        <v>46171</v>
      </c>
      <c r="C150" t="str">
        <f t="shared" si="6"/>
        <v>05</v>
      </c>
      <c r="D150" t="s">
        <v>17</v>
      </c>
      <c r="E150" t="s">
        <v>159</v>
      </c>
      <c r="F150" s="5">
        <v>155300000</v>
      </c>
      <c r="G150" s="5">
        <v>158300000</v>
      </c>
      <c r="H150" s="5">
        <f t="shared" si="7"/>
        <v>143035904.70000002</v>
      </c>
      <c r="I150" s="5">
        <f t="shared" si="8"/>
        <v>15264095.299999982</v>
      </c>
      <c r="J150" s="5">
        <v>3000000</v>
      </c>
      <c r="K150" s="5">
        <v>15530000</v>
      </c>
      <c r="L150" s="5">
        <v>15830000</v>
      </c>
      <c r="M150" s="7">
        <v>4563</v>
      </c>
      <c r="N150" s="5">
        <v>155500000</v>
      </c>
      <c r="O150" s="5">
        <v>158500000</v>
      </c>
      <c r="P150" s="3">
        <v>0.97916666666666663</v>
      </c>
    </row>
    <row r="151" spans="1:16" x14ac:dyDescent="0.25">
      <c r="A151" t="s">
        <v>112</v>
      </c>
      <c r="B151" s="2">
        <v>46172</v>
      </c>
      <c r="C151" t="str">
        <f t="shared" si="6"/>
        <v>05</v>
      </c>
      <c r="D151" t="s">
        <v>18</v>
      </c>
      <c r="E151" t="s">
        <v>159</v>
      </c>
      <c r="F151" s="5">
        <v>155800000</v>
      </c>
      <c r="G151" s="5">
        <v>158800000</v>
      </c>
      <c r="H151" s="5">
        <f t="shared" si="7"/>
        <v>142324330.07000002</v>
      </c>
      <c r="I151" s="5">
        <f t="shared" si="8"/>
        <v>16475669.929999977</v>
      </c>
      <c r="J151" s="5">
        <v>3000000</v>
      </c>
      <c r="K151" s="5">
        <v>15580000</v>
      </c>
      <c r="L151" s="5">
        <v>15880000</v>
      </c>
      <c r="M151" s="7">
        <v>4540.3</v>
      </c>
      <c r="N151" s="5">
        <v>156000000</v>
      </c>
      <c r="O151" s="5">
        <v>159000000</v>
      </c>
      <c r="P151" s="3">
        <v>0.39583333333333331</v>
      </c>
    </row>
    <row r="152" spans="1:16" x14ac:dyDescent="0.25">
      <c r="A152" t="s">
        <v>113</v>
      </c>
      <c r="B152" s="2">
        <v>46173</v>
      </c>
      <c r="C152" t="str">
        <f t="shared" si="6"/>
        <v>05</v>
      </c>
      <c r="D152" t="s">
        <v>19</v>
      </c>
      <c r="E152" t="s">
        <v>159</v>
      </c>
      <c r="F152" s="5">
        <v>155800000</v>
      </c>
      <c r="G152" s="5">
        <v>158800000</v>
      </c>
      <c r="H152" s="5">
        <f t="shared" si="7"/>
        <v>142324330.07000002</v>
      </c>
      <c r="I152" s="5">
        <f t="shared" si="8"/>
        <v>16475669.929999977</v>
      </c>
      <c r="J152" s="5">
        <v>3000000</v>
      </c>
      <c r="K152" s="5">
        <v>15580000</v>
      </c>
      <c r="L152" s="5">
        <v>15880000</v>
      </c>
      <c r="M152" s="7">
        <v>4540.3</v>
      </c>
      <c r="N152" s="5">
        <v>156000000</v>
      </c>
      <c r="O152" s="5">
        <v>159000000</v>
      </c>
      <c r="P152" s="3">
        <v>0</v>
      </c>
    </row>
    <row r="153" spans="1:16" x14ac:dyDescent="0.25">
      <c r="A153" s="2">
        <v>46028</v>
      </c>
      <c r="B153" s="2">
        <v>46174</v>
      </c>
      <c r="C153" t="str">
        <f t="shared" si="6"/>
        <v>06</v>
      </c>
      <c r="D153" t="s">
        <v>20</v>
      </c>
      <c r="E153" t="s">
        <v>159</v>
      </c>
      <c r="F153" s="5">
        <v>155300000</v>
      </c>
      <c r="G153" s="5">
        <v>158300000</v>
      </c>
      <c r="H153" s="5">
        <f t="shared" si="7"/>
        <v>140064218.58000001</v>
      </c>
      <c r="I153" s="5">
        <f t="shared" si="8"/>
        <v>18235781.419999987</v>
      </c>
      <c r="J153" s="5">
        <v>3000000</v>
      </c>
      <c r="K153" s="5">
        <v>15530000</v>
      </c>
      <c r="L153" s="5">
        <v>15830000</v>
      </c>
      <c r="M153" s="7">
        <v>4468.2</v>
      </c>
      <c r="N153" s="5">
        <v>155500000</v>
      </c>
      <c r="O153" s="5">
        <v>158500000</v>
      </c>
      <c r="P153" s="3">
        <v>0.97916666666666663</v>
      </c>
    </row>
    <row r="154" spans="1:16" x14ac:dyDescent="0.25">
      <c r="A154" s="2">
        <v>46059</v>
      </c>
      <c r="B154" s="2">
        <v>46175</v>
      </c>
      <c r="C154" t="str">
        <f t="shared" si="6"/>
        <v>06</v>
      </c>
      <c r="D154" t="s">
        <v>21</v>
      </c>
      <c r="E154" t="s">
        <v>159</v>
      </c>
      <c r="F154" s="5">
        <v>154300000</v>
      </c>
      <c r="G154" s="5">
        <v>157300000</v>
      </c>
      <c r="H154" s="5">
        <f t="shared" si="7"/>
        <v>140832217.63000003</v>
      </c>
      <c r="I154" s="5">
        <f t="shared" si="8"/>
        <v>16467782.369999975</v>
      </c>
      <c r="J154" s="5">
        <v>3000000</v>
      </c>
      <c r="K154" s="5">
        <v>15430000</v>
      </c>
      <c r="L154" s="5">
        <v>15730000</v>
      </c>
      <c r="M154" s="7">
        <v>4492.7</v>
      </c>
      <c r="N154" s="5">
        <v>154500000</v>
      </c>
      <c r="O154" s="5">
        <v>157500000</v>
      </c>
      <c r="P154" s="3">
        <v>0.97916666666666663</v>
      </c>
    </row>
    <row r="155" spans="1:16" x14ac:dyDescent="0.25">
      <c r="A155" s="2">
        <v>46087</v>
      </c>
      <c r="B155" s="2">
        <v>46176</v>
      </c>
      <c r="C155" t="str">
        <f t="shared" si="6"/>
        <v>06</v>
      </c>
      <c r="D155" t="s">
        <v>22</v>
      </c>
      <c r="E155" t="s">
        <v>159</v>
      </c>
      <c r="F155" s="5">
        <v>153800000</v>
      </c>
      <c r="G155" s="5">
        <v>156800000</v>
      </c>
      <c r="H155" s="5">
        <f t="shared" si="7"/>
        <v>139114407.50999999</v>
      </c>
      <c r="I155" s="5">
        <f t="shared" si="8"/>
        <v>17685592.49000001</v>
      </c>
      <c r="J155" s="5">
        <v>3000000</v>
      </c>
      <c r="K155" s="5">
        <v>15380000</v>
      </c>
      <c r="L155" s="5">
        <v>15680000</v>
      </c>
      <c r="M155" s="7">
        <v>4437.8999999999996</v>
      </c>
      <c r="N155" s="5">
        <v>154000000</v>
      </c>
      <c r="O155" s="5">
        <v>157000000</v>
      </c>
      <c r="P155" s="3">
        <v>0.97916666666666663</v>
      </c>
    </row>
    <row r="156" spans="1:16" x14ac:dyDescent="0.25">
      <c r="A156" s="2">
        <v>46118</v>
      </c>
      <c r="B156" s="2">
        <v>46177</v>
      </c>
      <c r="C156" t="str">
        <f t="shared" si="6"/>
        <v>06</v>
      </c>
      <c r="D156" t="s">
        <v>16</v>
      </c>
      <c r="E156" t="s">
        <v>159</v>
      </c>
      <c r="F156" s="5">
        <v>152800000</v>
      </c>
      <c r="G156" s="5">
        <v>155800000</v>
      </c>
      <c r="H156" s="5">
        <f t="shared" si="7"/>
        <v>140600250.57000002</v>
      </c>
      <c r="I156" s="5">
        <f t="shared" si="8"/>
        <v>15199749.429999977</v>
      </c>
      <c r="J156" s="5">
        <v>3000000</v>
      </c>
      <c r="K156" s="5">
        <v>15280000</v>
      </c>
      <c r="L156" s="5">
        <v>15580000</v>
      </c>
      <c r="M156" s="7">
        <v>4485.3</v>
      </c>
      <c r="N156" s="5">
        <v>153000000</v>
      </c>
      <c r="O156" s="5">
        <v>156000000</v>
      </c>
      <c r="P156" s="3">
        <v>0.97916666666666663</v>
      </c>
    </row>
    <row r="157" spans="1:16" x14ac:dyDescent="0.25">
      <c r="A157" s="2">
        <v>46148</v>
      </c>
      <c r="B157" s="2">
        <v>46178</v>
      </c>
      <c r="C157" t="str">
        <f t="shared" si="6"/>
        <v>06</v>
      </c>
      <c r="D157" t="s">
        <v>17</v>
      </c>
      <c r="E157" t="s">
        <v>159</v>
      </c>
      <c r="F157" s="5">
        <v>149000000</v>
      </c>
      <c r="G157" s="5">
        <v>153000000</v>
      </c>
      <c r="H157" s="5">
        <f t="shared" si="7"/>
        <v>135810444.25</v>
      </c>
      <c r="I157" s="5">
        <f t="shared" si="8"/>
        <v>17189555.75</v>
      </c>
      <c r="J157" s="5">
        <v>4000000</v>
      </c>
      <c r="K157" s="5">
        <v>14900000</v>
      </c>
      <c r="L157" s="5">
        <v>15300000</v>
      </c>
      <c r="M157" s="7">
        <v>4332.5</v>
      </c>
      <c r="N157" s="5">
        <v>149200000</v>
      </c>
      <c r="O157" s="5">
        <v>153200000</v>
      </c>
      <c r="P157" s="3">
        <v>0.97916666666666663</v>
      </c>
    </row>
    <row r="158" spans="1:16" x14ac:dyDescent="0.25">
      <c r="A158" s="2">
        <v>46179</v>
      </c>
      <c r="B158" s="2">
        <v>46179</v>
      </c>
      <c r="C158" t="str">
        <f t="shared" si="6"/>
        <v>06</v>
      </c>
      <c r="D158" t="s">
        <v>18</v>
      </c>
      <c r="E158" t="s">
        <v>159</v>
      </c>
      <c r="F158" s="5">
        <v>146000000</v>
      </c>
      <c r="G158" s="5">
        <v>150000000</v>
      </c>
      <c r="H158" s="5">
        <f t="shared" si="7"/>
        <v>135732077</v>
      </c>
      <c r="I158" s="5">
        <f t="shared" si="8"/>
        <v>14267923</v>
      </c>
      <c r="J158" s="5">
        <v>4000000</v>
      </c>
      <c r="K158" s="5">
        <v>14600000</v>
      </c>
      <c r="L158" s="5">
        <v>15000000</v>
      </c>
      <c r="M158" s="7">
        <v>4330</v>
      </c>
      <c r="N158" s="5">
        <v>146200000</v>
      </c>
      <c r="O158" s="5">
        <v>150200000</v>
      </c>
      <c r="P158" s="3">
        <v>0.39583333333333331</v>
      </c>
    </row>
    <row r="159" spans="1:16" x14ac:dyDescent="0.25">
      <c r="A159" s="2">
        <v>46209</v>
      </c>
      <c r="B159" s="2">
        <v>46180</v>
      </c>
      <c r="C159" t="str">
        <f t="shared" si="6"/>
        <v>06</v>
      </c>
      <c r="D159" t="s">
        <v>19</v>
      </c>
      <c r="E159" t="s">
        <v>159</v>
      </c>
      <c r="F159" s="5">
        <v>146000000</v>
      </c>
      <c r="G159" s="5">
        <v>150000000</v>
      </c>
      <c r="H159" s="5">
        <f t="shared" si="7"/>
        <v>135732077</v>
      </c>
      <c r="I159" s="5">
        <f t="shared" si="8"/>
        <v>14267923</v>
      </c>
      <c r="J159" s="5">
        <v>4000000</v>
      </c>
      <c r="K159" s="5">
        <v>14600000</v>
      </c>
      <c r="L159" s="5">
        <v>15000000</v>
      </c>
      <c r="M159" s="7">
        <v>4330</v>
      </c>
      <c r="N159" s="5">
        <v>146200000</v>
      </c>
      <c r="O159" s="5">
        <v>150200000</v>
      </c>
      <c r="P159" s="3">
        <v>0</v>
      </c>
    </row>
    <row r="160" spans="1:16" x14ac:dyDescent="0.25">
      <c r="A160" s="2">
        <v>46240</v>
      </c>
      <c r="B160" s="2">
        <v>46181</v>
      </c>
      <c r="C160" t="str">
        <f t="shared" si="6"/>
        <v>06</v>
      </c>
      <c r="D160" t="s">
        <v>20</v>
      </c>
      <c r="E160" t="s">
        <v>159</v>
      </c>
      <c r="F160" s="5">
        <v>138600000</v>
      </c>
      <c r="G160" s="5">
        <v>143600000</v>
      </c>
      <c r="H160" s="5">
        <f t="shared" si="7"/>
        <v>136161529.53</v>
      </c>
      <c r="I160" s="5">
        <f t="shared" si="8"/>
        <v>7438470.4699999988</v>
      </c>
      <c r="J160" s="5">
        <v>5000000</v>
      </c>
      <c r="K160" s="5">
        <v>13860000</v>
      </c>
      <c r="L160" s="5">
        <v>14360000</v>
      </c>
      <c r="M160" s="7">
        <v>4343.7</v>
      </c>
      <c r="N160" s="5">
        <v>138800000</v>
      </c>
      <c r="O160" s="5">
        <v>143800000</v>
      </c>
      <c r="P160" s="3">
        <v>0.97916666666666663</v>
      </c>
    </row>
    <row r="161" spans="1:16" x14ac:dyDescent="0.25">
      <c r="A161" s="2">
        <v>46271</v>
      </c>
      <c r="B161" s="2">
        <v>46182</v>
      </c>
      <c r="C161" t="str">
        <f t="shared" si="6"/>
        <v>06</v>
      </c>
      <c r="D161" t="s">
        <v>21</v>
      </c>
      <c r="E161" t="s">
        <v>159</v>
      </c>
      <c r="F161" s="5">
        <v>138600000</v>
      </c>
      <c r="G161" s="5">
        <v>143600000</v>
      </c>
      <c r="H161" s="5">
        <f t="shared" si="7"/>
        <v>133669450.98000002</v>
      </c>
      <c r="I161" s="5">
        <f t="shared" si="8"/>
        <v>9930549.0199999809</v>
      </c>
      <c r="J161" s="5">
        <v>5000000</v>
      </c>
      <c r="K161" s="5">
        <v>13860000</v>
      </c>
      <c r="L161" s="5">
        <v>14360000</v>
      </c>
      <c r="M161" s="7">
        <v>4264.2</v>
      </c>
      <c r="N161" s="5">
        <v>138800000</v>
      </c>
      <c r="O161" s="5">
        <v>143800000</v>
      </c>
      <c r="P161" s="3">
        <v>0.97916666666666663</v>
      </c>
    </row>
    <row r="162" spans="1:16" x14ac:dyDescent="0.25">
      <c r="A162" s="2">
        <v>46301</v>
      </c>
      <c r="B162" s="2">
        <v>46183</v>
      </c>
      <c r="C162" t="str">
        <f t="shared" si="6"/>
        <v>06</v>
      </c>
      <c r="D162" t="s">
        <v>22</v>
      </c>
      <c r="E162" t="s">
        <v>159</v>
      </c>
      <c r="F162" s="5">
        <v>133200000</v>
      </c>
      <c r="G162" s="5">
        <v>138200000</v>
      </c>
      <c r="H162" s="5">
        <f t="shared" si="7"/>
        <v>129547333.63000001</v>
      </c>
      <c r="I162" s="5">
        <f t="shared" si="8"/>
        <v>8652666.3699999899</v>
      </c>
      <c r="J162" s="5">
        <v>5000000</v>
      </c>
      <c r="K162" s="5">
        <v>13320000</v>
      </c>
      <c r="L162" s="5">
        <v>13820000</v>
      </c>
      <c r="M162" s="7">
        <v>4132.7</v>
      </c>
      <c r="N162" s="5">
        <v>133300000</v>
      </c>
      <c r="O162" s="5">
        <v>138300000</v>
      </c>
      <c r="P162" s="3">
        <v>0.97916666666666663</v>
      </c>
    </row>
    <row r="163" spans="1:16" x14ac:dyDescent="0.25">
      <c r="A163" s="2">
        <v>46332</v>
      </c>
      <c r="B163" s="2">
        <v>46184</v>
      </c>
      <c r="C163" t="str">
        <f t="shared" si="6"/>
        <v>06</v>
      </c>
      <c r="D163" t="s">
        <v>16</v>
      </c>
      <c r="E163" t="s">
        <v>159</v>
      </c>
      <c r="F163" s="5">
        <v>133300000</v>
      </c>
      <c r="G163" s="5">
        <v>138300000</v>
      </c>
      <c r="H163" s="5">
        <f t="shared" si="7"/>
        <v>128039547.74000001</v>
      </c>
      <c r="I163" s="5">
        <f t="shared" si="8"/>
        <v>10260452.25999999</v>
      </c>
      <c r="J163" s="5">
        <v>5000000</v>
      </c>
      <c r="K163" s="5">
        <v>13330000</v>
      </c>
      <c r="L163" s="5">
        <v>13830000</v>
      </c>
      <c r="M163" s="7">
        <v>4084.6</v>
      </c>
      <c r="N163" s="5">
        <v>133400000</v>
      </c>
      <c r="O163" s="5">
        <v>138400000</v>
      </c>
      <c r="P163" s="3">
        <v>0.97916666666666663</v>
      </c>
    </row>
    <row r="164" spans="1:16" x14ac:dyDescent="0.25">
      <c r="A164" s="2">
        <v>46362</v>
      </c>
      <c r="B164" s="2">
        <v>46185</v>
      </c>
      <c r="C164" t="str">
        <f t="shared" si="6"/>
        <v>06</v>
      </c>
      <c r="D164" t="s">
        <v>17</v>
      </c>
      <c r="E164" t="s">
        <v>159</v>
      </c>
      <c r="F164" s="5">
        <v>142300000</v>
      </c>
      <c r="G164" s="5">
        <v>145300000</v>
      </c>
      <c r="H164" s="5">
        <f t="shared" si="7"/>
        <v>132236897.65000001</v>
      </c>
      <c r="I164" s="5">
        <f t="shared" si="8"/>
        <v>13063102.349999994</v>
      </c>
      <c r="J164" s="5">
        <v>3000000</v>
      </c>
      <c r="K164" s="5">
        <v>14230000</v>
      </c>
      <c r="L164" s="5">
        <v>14530000</v>
      </c>
      <c r="M164" s="7">
        <v>4218.5</v>
      </c>
      <c r="N164" s="5">
        <v>142400000</v>
      </c>
      <c r="O164" s="5">
        <v>145400000</v>
      </c>
      <c r="P164" s="3">
        <v>0.97916666666666663</v>
      </c>
    </row>
    <row r="165" spans="1:16" x14ac:dyDescent="0.25">
      <c r="A165" t="s">
        <v>114</v>
      </c>
      <c r="B165" s="2">
        <v>46186</v>
      </c>
      <c r="C165" t="str">
        <f t="shared" si="6"/>
        <v>06</v>
      </c>
      <c r="D165" t="s">
        <v>18</v>
      </c>
      <c r="E165" t="s">
        <v>159</v>
      </c>
      <c r="F165" s="5">
        <v>143900000</v>
      </c>
      <c r="G165" s="5">
        <v>146900000</v>
      </c>
      <c r="H165" s="5">
        <f t="shared" si="7"/>
        <v>132293322.07000001</v>
      </c>
      <c r="I165" s="5">
        <f t="shared" si="8"/>
        <v>14606677.929999992</v>
      </c>
      <c r="J165" s="5">
        <v>3000000</v>
      </c>
      <c r="K165" s="5">
        <v>14390000</v>
      </c>
      <c r="L165" s="5">
        <v>14690000</v>
      </c>
      <c r="M165" s="7">
        <v>4220.3</v>
      </c>
      <c r="N165" s="5">
        <v>144000000</v>
      </c>
      <c r="O165" s="5">
        <v>147000000</v>
      </c>
      <c r="P165" s="3">
        <v>0.45833333333333331</v>
      </c>
    </row>
    <row r="166" spans="1:16" x14ac:dyDescent="0.25">
      <c r="A166" t="s">
        <v>115</v>
      </c>
      <c r="B166" s="2">
        <v>46187</v>
      </c>
      <c r="C166" t="str">
        <f t="shared" si="6"/>
        <v>06</v>
      </c>
      <c r="D166" t="s">
        <v>19</v>
      </c>
      <c r="E166" t="s">
        <v>159</v>
      </c>
      <c r="F166" s="5">
        <v>143900000</v>
      </c>
      <c r="G166" s="5">
        <v>146900000</v>
      </c>
      <c r="H166" s="5">
        <f t="shared" si="7"/>
        <v>132293322.07000001</v>
      </c>
      <c r="I166" s="5">
        <f t="shared" si="8"/>
        <v>14606677.929999992</v>
      </c>
      <c r="J166" s="5">
        <v>3000000</v>
      </c>
      <c r="K166" s="5">
        <v>14390000</v>
      </c>
      <c r="L166" s="5">
        <v>14690000</v>
      </c>
      <c r="M166" s="7">
        <v>4220.3</v>
      </c>
      <c r="N166" s="5">
        <v>144000000</v>
      </c>
      <c r="O166" s="5">
        <v>147000000</v>
      </c>
      <c r="P166" s="3">
        <v>0</v>
      </c>
    </row>
    <row r="167" spans="1:16" x14ac:dyDescent="0.25">
      <c r="A167" t="s">
        <v>116</v>
      </c>
      <c r="B167" s="2">
        <v>46188</v>
      </c>
      <c r="C167" t="str">
        <f t="shared" si="6"/>
        <v>06</v>
      </c>
      <c r="D167" t="s">
        <v>20</v>
      </c>
      <c r="E167" t="s">
        <v>159</v>
      </c>
      <c r="F167" s="5">
        <v>147900000</v>
      </c>
      <c r="G167" s="5">
        <v>150400000</v>
      </c>
      <c r="H167" s="5">
        <f t="shared" si="7"/>
        <v>136120778.56</v>
      </c>
      <c r="I167" s="5">
        <f t="shared" si="8"/>
        <v>14279221.439999998</v>
      </c>
      <c r="J167" s="5">
        <v>2500000</v>
      </c>
      <c r="K167" s="5">
        <v>14790000</v>
      </c>
      <c r="L167" s="5">
        <v>15040000</v>
      </c>
      <c r="M167" s="7">
        <v>4342.3999999999996</v>
      </c>
      <c r="N167" s="5">
        <v>148000000</v>
      </c>
      <c r="O167" s="5">
        <v>150500000</v>
      </c>
      <c r="P167" s="3">
        <v>0.97916666666666663</v>
      </c>
    </row>
    <row r="168" spans="1:16" x14ac:dyDescent="0.25">
      <c r="A168" t="s">
        <v>117</v>
      </c>
      <c r="B168" s="2">
        <v>46189</v>
      </c>
      <c r="C168" t="str">
        <f t="shared" si="6"/>
        <v>06</v>
      </c>
      <c r="D168" t="s">
        <v>21</v>
      </c>
      <c r="E168" t="s">
        <v>159</v>
      </c>
      <c r="F168" s="5">
        <v>149400000</v>
      </c>
      <c r="G168" s="5">
        <v>151400000</v>
      </c>
      <c r="H168" s="5">
        <f t="shared" si="7"/>
        <v>136236762.09000003</v>
      </c>
      <c r="I168" s="5">
        <f t="shared" si="8"/>
        <v>15163237.909999967</v>
      </c>
      <c r="J168" s="5">
        <v>2000000</v>
      </c>
      <c r="K168" s="5">
        <v>14940000</v>
      </c>
      <c r="L168" s="5">
        <v>15140000</v>
      </c>
      <c r="M168" s="7">
        <v>4346.1000000000004</v>
      </c>
      <c r="N168" s="5">
        <v>149500000</v>
      </c>
      <c r="O168" s="5">
        <v>151500000</v>
      </c>
      <c r="P168" s="3">
        <v>0.97916666666666663</v>
      </c>
    </row>
    <row r="169" spans="1:16" x14ac:dyDescent="0.25">
      <c r="A169" t="s">
        <v>118</v>
      </c>
      <c r="B169" s="2">
        <v>46190</v>
      </c>
      <c r="C169" t="str">
        <f t="shared" si="6"/>
        <v>06</v>
      </c>
      <c r="D169" t="s">
        <v>22</v>
      </c>
      <c r="E169" t="s">
        <v>159</v>
      </c>
      <c r="F169" s="5">
        <v>148700000</v>
      </c>
      <c r="G169" s="5">
        <v>151200000</v>
      </c>
      <c r="H169" s="5">
        <f t="shared" si="7"/>
        <v>136876238.85000002</v>
      </c>
      <c r="I169" s="5">
        <f t="shared" si="8"/>
        <v>14323761.149999976</v>
      </c>
      <c r="J169" s="5">
        <v>2500000</v>
      </c>
      <c r="K169" s="5">
        <v>14870000</v>
      </c>
      <c r="L169" s="5">
        <v>15120000</v>
      </c>
      <c r="M169" s="7">
        <v>4366.5</v>
      </c>
      <c r="N169" s="5">
        <v>148800000</v>
      </c>
      <c r="O169" s="5">
        <v>151300000</v>
      </c>
      <c r="P169" s="3">
        <v>0.97916666666666663</v>
      </c>
    </row>
    <row r="170" spans="1:16" x14ac:dyDescent="0.25">
      <c r="A170" t="s">
        <v>119</v>
      </c>
      <c r="B170" s="2">
        <v>46191</v>
      </c>
      <c r="C170" t="str">
        <f t="shared" si="6"/>
        <v>06</v>
      </c>
      <c r="D170" t="s">
        <v>16</v>
      </c>
      <c r="E170" t="s">
        <v>159</v>
      </c>
      <c r="F170" s="5">
        <v>148700000</v>
      </c>
      <c r="G170" s="5">
        <v>151200000</v>
      </c>
      <c r="H170" s="5">
        <f t="shared" si="7"/>
        <v>132475134.09000003</v>
      </c>
      <c r="I170" s="5">
        <f t="shared" si="8"/>
        <v>18724865.909999967</v>
      </c>
      <c r="J170" s="5">
        <v>2500000</v>
      </c>
      <c r="K170" s="5">
        <v>14870000</v>
      </c>
      <c r="L170" s="5">
        <v>15120000</v>
      </c>
      <c r="M170" s="7">
        <v>4226.1000000000004</v>
      </c>
      <c r="N170" s="5">
        <v>148800000</v>
      </c>
      <c r="O170" s="5">
        <v>151300000</v>
      </c>
      <c r="P170" s="3">
        <v>0.97916666666666663</v>
      </c>
    </row>
    <row r="171" spans="1:16" x14ac:dyDescent="0.25">
      <c r="A171" t="s">
        <v>120</v>
      </c>
      <c r="B171" s="2">
        <v>46192</v>
      </c>
      <c r="C171" t="str">
        <f t="shared" si="6"/>
        <v>06</v>
      </c>
      <c r="D171" t="s">
        <v>17</v>
      </c>
      <c r="E171" t="s">
        <v>159</v>
      </c>
      <c r="F171" s="5">
        <v>143600000</v>
      </c>
      <c r="G171" s="5">
        <v>146600000</v>
      </c>
      <c r="H171" s="5">
        <f t="shared" si="7"/>
        <v>130083365.62</v>
      </c>
      <c r="I171" s="5">
        <f t="shared" si="8"/>
        <v>16516634.379999995</v>
      </c>
      <c r="J171" s="5">
        <v>3000000</v>
      </c>
      <c r="K171" s="5">
        <v>14360000</v>
      </c>
      <c r="L171" s="5">
        <v>14660000</v>
      </c>
      <c r="M171" s="7">
        <v>4149.8</v>
      </c>
      <c r="N171" s="5">
        <v>143700000</v>
      </c>
      <c r="O171" s="5">
        <v>146700000</v>
      </c>
      <c r="P171" s="3">
        <v>0.97916666666666663</v>
      </c>
    </row>
    <row r="172" spans="1:16" x14ac:dyDescent="0.25">
      <c r="A172" t="s">
        <v>121</v>
      </c>
      <c r="B172" s="2">
        <v>46193</v>
      </c>
      <c r="C172" t="str">
        <f t="shared" si="6"/>
        <v>06</v>
      </c>
      <c r="D172" t="s">
        <v>18</v>
      </c>
      <c r="E172" t="s">
        <v>159</v>
      </c>
      <c r="F172" s="5">
        <v>144100000</v>
      </c>
      <c r="G172" s="5">
        <v>147100000</v>
      </c>
      <c r="H172" s="5">
        <f t="shared" si="7"/>
        <v>130299659.23000002</v>
      </c>
      <c r="I172" s="5">
        <f t="shared" si="8"/>
        <v>16800340.769999981</v>
      </c>
      <c r="J172" s="5">
        <v>3000000</v>
      </c>
      <c r="K172" s="5">
        <v>14410000</v>
      </c>
      <c r="L172" s="5">
        <v>14710000</v>
      </c>
      <c r="M172" s="7">
        <v>4156.7</v>
      </c>
      <c r="N172" s="5">
        <v>144200000</v>
      </c>
      <c r="O172" s="5">
        <v>147200000</v>
      </c>
      <c r="P172" s="3">
        <v>0.39583333333333331</v>
      </c>
    </row>
    <row r="173" spans="1:16" x14ac:dyDescent="0.25">
      <c r="A173" t="s">
        <v>122</v>
      </c>
      <c r="B173" s="2">
        <v>46194</v>
      </c>
      <c r="C173" t="str">
        <f t="shared" si="6"/>
        <v>06</v>
      </c>
      <c r="D173" t="s">
        <v>19</v>
      </c>
      <c r="E173" t="s">
        <v>159</v>
      </c>
      <c r="F173" s="5">
        <v>144100000</v>
      </c>
      <c r="G173" s="5">
        <v>147100000</v>
      </c>
      <c r="H173" s="5">
        <f t="shared" si="7"/>
        <v>130299659.23000002</v>
      </c>
      <c r="I173" s="5">
        <f t="shared" si="8"/>
        <v>16800340.769999981</v>
      </c>
      <c r="J173" s="5">
        <v>3000000</v>
      </c>
      <c r="K173" s="5">
        <v>14410000</v>
      </c>
      <c r="L173" s="5">
        <v>14710000</v>
      </c>
      <c r="M173" s="7">
        <v>4156.7</v>
      </c>
      <c r="N173" s="5">
        <v>144200000</v>
      </c>
      <c r="O173" s="5">
        <v>147200000</v>
      </c>
      <c r="P173" s="3">
        <v>0</v>
      </c>
    </row>
    <row r="174" spans="1:16" x14ac:dyDescent="0.25">
      <c r="A174" t="s">
        <v>123</v>
      </c>
      <c r="B174" s="2">
        <v>46195</v>
      </c>
      <c r="C174" t="str">
        <f t="shared" si="6"/>
        <v>06</v>
      </c>
      <c r="D174" t="s">
        <v>20</v>
      </c>
      <c r="E174" t="s">
        <v>159</v>
      </c>
      <c r="F174" s="5">
        <v>145500000</v>
      </c>
      <c r="G174" s="5">
        <v>148500000</v>
      </c>
      <c r="H174" s="5">
        <f t="shared" si="7"/>
        <v>131124082.70000002</v>
      </c>
      <c r="I174" s="5">
        <f t="shared" si="8"/>
        <v>17375917.299999982</v>
      </c>
      <c r="J174" s="5">
        <v>3000000</v>
      </c>
      <c r="K174" s="5">
        <v>14550000</v>
      </c>
      <c r="L174" s="5">
        <v>14850000</v>
      </c>
      <c r="M174" s="7">
        <v>4183</v>
      </c>
      <c r="N174" s="5">
        <v>145600000</v>
      </c>
      <c r="O174" s="5">
        <v>148600000</v>
      </c>
      <c r="P174" s="3">
        <v>0.97916666666666663</v>
      </c>
    </row>
    <row r="175" spans="1:16" x14ac:dyDescent="0.25">
      <c r="A175" t="s">
        <v>124</v>
      </c>
      <c r="B175" s="2">
        <v>46196</v>
      </c>
      <c r="C175" t="str">
        <f t="shared" si="6"/>
        <v>06</v>
      </c>
      <c r="D175" t="s">
        <v>21</v>
      </c>
      <c r="E175" t="s">
        <v>159</v>
      </c>
      <c r="F175" s="5">
        <v>143900000</v>
      </c>
      <c r="G175" s="5">
        <v>146900000</v>
      </c>
      <c r="H175" s="5">
        <f t="shared" si="7"/>
        <v>129697798.75000001</v>
      </c>
      <c r="I175" s="5">
        <f t="shared" si="8"/>
        <v>17202201.249999985</v>
      </c>
      <c r="J175" s="5">
        <v>3000000</v>
      </c>
      <c r="K175" s="5">
        <v>14390000</v>
      </c>
      <c r="L175" s="5">
        <v>14690000</v>
      </c>
      <c r="M175" s="7">
        <v>4137.5</v>
      </c>
      <c r="N175" s="5">
        <v>144000000</v>
      </c>
      <c r="O175" s="5">
        <v>147000000</v>
      </c>
      <c r="P175" s="3">
        <v>0.97916666666666663</v>
      </c>
    </row>
    <row r="176" spans="1:16" x14ac:dyDescent="0.25">
      <c r="A176" t="s">
        <v>125</v>
      </c>
      <c r="B176" s="2">
        <v>46197</v>
      </c>
      <c r="C176" t="str">
        <f t="shared" si="6"/>
        <v>06</v>
      </c>
      <c r="D176" t="s">
        <v>22</v>
      </c>
      <c r="E176" t="s">
        <v>159</v>
      </c>
      <c r="F176" s="5">
        <v>143900000</v>
      </c>
      <c r="G176" s="5">
        <v>146900000</v>
      </c>
      <c r="H176" s="5">
        <f t="shared" si="7"/>
        <v>125845264.74000001</v>
      </c>
      <c r="I176" s="5">
        <f t="shared" si="8"/>
        <v>21054735.25999999</v>
      </c>
      <c r="J176" s="5">
        <v>3000000</v>
      </c>
      <c r="K176" s="5">
        <v>14390000</v>
      </c>
      <c r="L176" s="5">
        <v>14690000</v>
      </c>
      <c r="M176" s="7">
        <v>4014.6</v>
      </c>
      <c r="N176" s="5">
        <v>144000000</v>
      </c>
      <c r="O176" s="5">
        <v>147000000</v>
      </c>
      <c r="P176" s="3">
        <v>0.97916666666666663</v>
      </c>
    </row>
    <row r="177" spans="1:16" x14ac:dyDescent="0.25">
      <c r="A177" t="s">
        <v>126</v>
      </c>
      <c r="B177" s="2">
        <v>46198</v>
      </c>
      <c r="C177" t="str">
        <f t="shared" si="6"/>
        <v>06</v>
      </c>
      <c r="D177" t="s">
        <v>16</v>
      </c>
      <c r="E177" t="s">
        <v>159</v>
      </c>
      <c r="F177" s="5">
        <v>143100000</v>
      </c>
      <c r="G177" s="5">
        <v>146100000</v>
      </c>
      <c r="H177" s="5">
        <f t="shared" si="7"/>
        <v>126738651.39000002</v>
      </c>
      <c r="I177" s="5">
        <f t="shared" si="8"/>
        <v>19361348.609999985</v>
      </c>
      <c r="J177" s="5">
        <v>3000000</v>
      </c>
      <c r="K177" s="5">
        <v>14310000</v>
      </c>
      <c r="L177" s="5">
        <v>14610000</v>
      </c>
      <c r="M177" s="7">
        <v>4043.1</v>
      </c>
      <c r="N177" s="5">
        <v>143200000</v>
      </c>
      <c r="O177" s="5">
        <v>146200000</v>
      </c>
      <c r="P177" s="3">
        <v>0.97916666666666663</v>
      </c>
    </row>
    <row r="178" spans="1:16" x14ac:dyDescent="0.25">
      <c r="A178" t="s">
        <v>127</v>
      </c>
      <c r="B178" s="2">
        <v>46199</v>
      </c>
      <c r="C178" t="str">
        <f t="shared" si="6"/>
        <v>06</v>
      </c>
      <c r="D178" t="s">
        <v>17</v>
      </c>
      <c r="E178" t="s">
        <v>159</v>
      </c>
      <c r="F178" s="5">
        <v>143900000</v>
      </c>
      <c r="G178" s="5">
        <v>146900000</v>
      </c>
      <c r="H178" s="5">
        <f t="shared" si="7"/>
        <v>128177474.10000001</v>
      </c>
      <c r="I178" s="5">
        <f t="shared" si="8"/>
        <v>18722525.899999991</v>
      </c>
      <c r="J178" s="5">
        <v>3000000</v>
      </c>
      <c r="K178" s="5">
        <v>14390000</v>
      </c>
      <c r="L178" s="5">
        <v>14690000</v>
      </c>
      <c r="M178" s="7">
        <v>4089</v>
      </c>
      <c r="N178" s="5">
        <v>144000000</v>
      </c>
      <c r="O178" s="5">
        <v>147000000</v>
      </c>
      <c r="P178" s="3">
        <v>0.97916666666666663</v>
      </c>
    </row>
    <row r="179" spans="1:16" x14ac:dyDescent="0.25">
      <c r="A179" t="s">
        <v>128</v>
      </c>
      <c r="B179" s="2">
        <v>46200</v>
      </c>
      <c r="C179" t="str">
        <f t="shared" si="6"/>
        <v>06</v>
      </c>
      <c r="D179" t="s">
        <v>18</v>
      </c>
      <c r="E179" t="s">
        <v>159</v>
      </c>
      <c r="F179" s="5">
        <v>145400000</v>
      </c>
      <c r="G179" s="5">
        <v>148400000</v>
      </c>
      <c r="H179" s="5">
        <f t="shared" si="7"/>
        <v>128227629.14000002</v>
      </c>
      <c r="I179" s="5">
        <f t="shared" si="8"/>
        <v>20172370.859999985</v>
      </c>
      <c r="J179" s="5">
        <v>3000000</v>
      </c>
      <c r="K179" s="5">
        <v>14540000</v>
      </c>
      <c r="L179" s="5">
        <v>14840000</v>
      </c>
      <c r="M179" s="7">
        <v>4090.6</v>
      </c>
      <c r="N179" s="5">
        <v>145500000</v>
      </c>
      <c r="O179" s="5">
        <v>148500000</v>
      </c>
      <c r="P179" s="3">
        <v>0.41666666666666669</v>
      </c>
    </row>
    <row r="180" spans="1:16" x14ac:dyDescent="0.25">
      <c r="A180" t="s">
        <v>129</v>
      </c>
      <c r="B180" s="2">
        <v>46201</v>
      </c>
      <c r="C180" t="str">
        <f t="shared" si="6"/>
        <v>06</v>
      </c>
      <c r="D180" t="s">
        <v>19</v>
      </c>
      <c r="E180" t="s">
        <v>159</v>
      </c>
      <c r="F180" s="5">
        <v>145400000</v>
      </c>
      <c r="G180" s="5">
        <v>148400000</v>
      </c>
      <c r="H180" s="5">
        <f t="shared" si="7"/>
        <v>128227629.14000002</v>
      </c>
      <c r="I180" s="5">
        <f t="shared" si="8"/>
        <v>20172370.859999985</v>
      </c>
      <c r="J180" s="5">
        <v>3000000</v>
      </c>
      <c r="K180" s="5">
        <v>14540000</v>
      </c>
      <c r="L180" s="5">
        <v>14840000</v>
      </c>
      <c r="M180" s="7">
        <v>4090.6</v>
      </c>
      <c r="N180" s="5">
        <v>145500000</v>
      </c>
      <c r="O180" s="5">
        <v>148500000</v>
      </c>
      <c r="P180" s="3">
        <v>0.3125</v>
      </c>
    </row>
    <row r="181" spans="1:16" x14ac:dyDescent="0.25">
      <c r="A181" t="s">
        <v>130</v>
      </c>
      <c r="B181" s="2">
        <v>46202</v>
      </c>
      <c r="C181" t="str">
        <f t="shared" si="6"/>
        <v>06</v>
      </c>
      <c r="D181" t="s">
        <v>20</v>
      </c>
      <c r="E181" t="s">
        <v>159</v>
      </c>
      <c r="F181" s="5">
        <v>144900000</v>
      </c>
      <c r="G181" s="5">
        <v>147900000</v>
      </c>
      <c r="H181" s="5">
        <f t="shared" si="7"/>
        <v>126165003.12</v>
      </c>
      <c r="I181" s="5">
        <f t="shared" si="8"/>
        <v>21734996.879999995</v>
      </c>
      <c r="J181" s="5">
        <v>3000000</v>
      </c>
      <c r="K181" s="5">
        <v>14490000</v>
      </c>
      <c r="L181" s="5">
        <v>14790000</v>
      </c>
      <c r="M181" s="7">
        <v>4024.8</v>
      </c>
      <c r="N181" s="5">
        <v>145000000</v>
      </c>
      <c r="O181" s="5">
        <v>148000000</v>
      </c>
      <c r="P181" s="3">
        <v>0.97916666666666663</v>
      </c>
    </row>
    <row r="182" spans="1:16" x14ac:dyDescent="0.25">
      <c r="A182" t="s">
        <v>131</v>
      </c>
      <c r="B182" s="2">
        <v>46203</v>
      </c>
      <c r="C182" t="str">
        <f t="shared" si="6"/>
        <v>06</v>
      </c>
      <c r="D182" t="s">
        <v>21</v>
      </c>
      <c r="E182" t="s">
        <v>159</v>
      </c>
      <c r="F182" s="5">
        <v>143900000</v>
      </c>
      <c r="G182" s="5">
        <v>146900000</v>
      </c>
      <c r="H182" s="5">
        <f t="shared" si="7"/>
        <v>126321737.62</v>
      </c>
      <c r="I182" s="5">
        <f t="shared" si="8"/>
        <v>20578262.379999995</v>
      </c>
      <c r="J182" s="5">
        <v>3000000</v>
      </c>
      <c r="K182" s="5">
        <v>14390000</v>
      </c>
      <c r="L182" s="5">
        <v>14690000</v>
      </c>
      <c r="M182" s="7">
        <v>4029.8</v>
      </c>
      <c r="N182" s="5">
        <v>144000000</v>
      </c>
      <c r="O182" s="5">
        <v>147000000</v>
      </c>
      <c r="P182" s="3">
        <v>0.97916666666666663</v>
      </c>
    </row>
    <row r="183" spans="1:16" x14ac:dyDescent="0.25">
      <c r="A183" s="2">
        <v>46029</v>
      </c>
      <c r="B183" s="2">
        <v>46204</v>
      </c>
      <c r="C183" t="str">
        <f t="shared" si="6"/>
        <v>07</v>
      </c>
      <c r="D183" t="s">
        <v>22</v>
      </c>
      <c r="E183" t="s">
        <v>159</v>
      </c>
      <c r="F183" s="5">
        <v>143300000</v>
      </c>
      <c r="G183" s="5">
        <v>146300000</v>
      </c>
      <c r="H183" s="5">
        <f t="shared" si="7"/>
        <v>128048951.81000002</v>
      </c>
      <c r="I183" s="5">
        <f t="shared" si="8"/>
        <v>18251048.189999983</v>
      </c>
      <c r="J183" s="5">
        <v>3000000</v>
      </c>
      <c r="K183" s="5">
        <v>14330000</v>
      </c>
      <c r="L183" s="5">
        <v>14630000</v>
      </c>
      <c r="M183" s="7">
        <v>4084.9</v>
      </c>
      <c r="N183" s="5">
        <v>143400000</v>
      </c>
      <c r="O183" s="5">
        <v>146400000</v>
      </c>
      <c r="P183" s="3">
        <v>0.97916666666666663</v>
      </c>
    </row>
    <row r="184" spans="1:16" x14ac:dyDescent="0.25">
      <c r="A184" s="2">
        <v>46060</v>
      </c>
      <c r="B184" s="2">
        <v>46205</v>
      </c>
      <c r="C184" t="str">
        <f t="shared" si="6"/>
        <v>07</v>
      </c>
      <c r="D184" t="s">
        <v>16</v>
      </c>
      <c r="E184" t="s">
        <v>159</v>
      </c>
      <c r="F184" s="5">
        <v>145300000</v>
      </c>
      <c r="G184" s="5">
        <v>148300000</v>
      </c>
      <c r="H184" s="5">
        <f t="shared" si="7"/>
        <v>129130419.86</v>
      </c>
      <c r="I184" s="5">
        <f t="shared" si="8"/>
        <v>19169580.140000001</v>
      </c>
      <c r="J184" s="5">
        <v>3000000</v>
      </c>
      <c r="K184" s="5">
        <v>14530000</v>
      </c>
      <c r="L184" s="5">
        <v>14830000</v>
      </c>
      <c r="M184" s="7">
        <v>4119.3999999999996</v>
      </c>
      <c r="N184" s="5">
        <v>145400000</v>
      </c>
      <c r="O184" s="5">
        <v>148400000</v>
      </c>
      <c r="P184" s="3">
        <v>0.97916666666666663</v>
      </c>
    </row>
    <row r="185" spans="1:16" x14ac:dyDescent="0.25">
      <c r="A185" s="2">
        <v>46088</v>
      </c>
      <c r="B185" s="2">
        <v>46206</v>
      </c>
      <c r="C185" t="str">
        <f t="shared" si="6"/>
        <v>07</v>
      </c>
      <c r="D185" t="s">
        <v>17</v>
      </c>
      <c r="E185" t="s">
        <v>159</v>
      </c>
      <c r="F185" s="5">
        <v>148300000</v>
      </c>
      <c r="G185" s="5">
        <v>151300000</v>
      </c>
      <c r="H185" s="5">
        <f t="shared" si="7"/>
        <v>130625666.99000002</v>
      </c>
      <c r="I185" s="5">
        <f t="shared" si="8"/>
        <v>20674333.009999976</v>
      </c>
      <c r="J185" s="5">
        <v>3000000</v>
      </c>
      <c r="K185" s="5">
        <v>14830000</v>
      </c>
      <c r="L185" s="5">
        <v>15130000</v>
      </c>
      <c r="M185" s="7">
        <v>4167.1000000000004</v>
      </c>
      <c r="N185" s="5">
        <v>148400000</v>
      </c>
      <c r="O185" s="5">
        <v>151400000</v>
      </c>
      <c r="P185" s="3">
        <v>0.97916666666666663</v>
      </c>
    </row>
    <row r="186" spans="1:16" x14ac:dyDescent="0.25">
      <c r="A186" s="2">
        <v>46119</v>
      </c>
      <c r="B186" s="2">
        <v>46207</v>
      </c>
      <c r="C186" t="str">
        <f t="shared" si="6"/>
        <v>07</v>
      </c>
      <c r="D186" t="s">
        <v>18</v>
      </c>
      <c r="E186" t="s">
        <v>159</v>
      </c>
      <c r="F186" s="5">
        <v>148300000</v>
      </c>
      <c r="G186" s="5">
        <v>151300000</v>
      </c>
      <c r="H186" s="5">
        <f t="shared" si="7"/>
        <v>130907789.09000003</v>
      </c>
      <c r="I186" s="5">
        <f t="shared" si="8"/>
        <v>20392210.909999967</v>
      </c>
      <c r="J186" s="5">
        <v>3000000</v>
      </c>
      <c r="K186" s="5">
        <v>14830000</v>
      </c>
      <c r="L186" s="5">
        <v>15130000</v>
      </c>
      <c r="M186" s="7">
        <v>4176.1000000000004</v>
      </c>
      <c r="N186" s="5">
        <v>148400000</v>
      </c>
      <c r="O186" s="5">
        <v>151400000</v>
      </c>
      <c r="P186" s="3">
        <v>2.0833333333333332E-2</v>
      </c>
    </row>
    <row r="187" spans="1:16" x14ac:dyDescent="0.25">
      <c r="A187" s="2">
        <v>46149</v>
      </c>
      <c r="B187" s="2">
        <v>46208</v>
      </c>
      <c r="C187" t="str">
        <f t="shared" si="6"/>
        <v>07</v>
      </c>
      <c r="D187" t="s">
        <v>19</v>
      </c>
      <c r="E187" t="s">
        <v>159</v>
      </c>
      <c r="F187" s="5">
        <v>148300000</v>
      </c>
      <c r="G187" s="5">
        <v>151300000</v>
      </c>
      <c r="H187" s="5">
        <f t="shared" si="7"/>
        <v>130907789.09000003</v>
      </c>
      <c r="I187" s="5">
        <f t="shared" si="8"/>
        <v>20392210.909999967</v>
      </c>
      <c r="J187" s="5">
        <v>3000000</v>
      </c>
      <c r="K187" s="5">
        <v>14830000</v>
      </c>
      <c r="L187" s="5">
        <v>15130000</v>
      </c>
      <c r="M187" s="7">
        <v>4176.1000000000004</v>
      </c>
      <c r="N187" s="5">
        <v>148400000</v>
      </c>
      <c r="O187" s="5">
        <v>151400000</v>
      </c>
      <c r="P187" s="3">
        <v>0</v>
      </c>
    </row>
    <row r="188" spans="1:16" x14ac:dyDescent="0.25">
      <c r="A188" s="2">
        <v>46180</v>
      </c>
      <c r="B188" s="2">
        <v>46209</v>
      </c>
      <c r="C188" t="str">
        <f t="shared" si="6"/>
        <v>07</v>
      </c>
      <c r="D188" t="s">
        <v>20</v>
      </c>
      <c r="E188" t="s">
        <v>159</v>
      </c>
      <c r="F188" s="5">
        <v>147900000</v>
      </c>
      <c r="G188" s="5">
        <v>150900000</v>
      </c>
      <c r="H188" s="5">
        <f t="shared" si="7"/>
        <v>129961112.70999999</v>
      </c>
      <c r="I188" s="5">
        <f t="shared" si="8"/>
        <v>20938887.290000007</v>
      </c>
      <c r="J188" s="5">
        <v>3000000</v>
      </c>
      <c r="K188" s="5">
        <v>14790000</v>
      </c>
      <c r="L188" s="5">
        <v>15090000</v>
      </c>
      <c r="M188" s="7">
        <v>4145.8999999999996</v>
      </c>
      <c r="N188" s="5">
        <v>148000000</v>
      </c>
      <c r="O188" s="5">
        <v>151000000</v>
      </c>
      <c r="P188" s="3">
        <v>0.97916666666666663</v>
      </c>
    </row>
    <row r="189" spans="1:16" x14ac:dyDescent="0.25">
      <c r="A189" s="2">
        <v>46210</v>
      </c>
      <c r="B189" s="2">
        <v>46210</v>
      </c>
      <c r="C189" t="str">
        <f t="shared" si="6"/>
        <v>07</v>
      </c>
      <c r="D189" t="s">
        <v>21</v>
      </c>
      <c r="E189" t="s">
        <v>159</v>
      </c>
      <c r="F189" s="5">
        <v>146700000</v>
      </c>
      <c r="G189" s="5">
        <v>149700000</v>
      </c>
      <c r="H189" s="5">
        <f t="shared" si="7"/>
        <v>130017537.13000001</v>
      </c>
      <c r="I189" s="5">
        <f t="shared" si="8"/>
        <v>19682462.86999999</v>
      </c>
      <c r="J189" s="5">
        <v>3000000</v>
      </c>
      <c r="K189" s="5">
        <v>14670000</v>
      </c>
      <c r="L189" s="5">
        <v>14970000</v>
      </c>
      <c r="M189" s="7">
        <v>4147.7</v>
      </c>
      <c r="N189" s="5">
        <v>147000000</v>
      </c>
      <c r="O189" s="5">
        <v>150000000</v>
      </c>
      <c r="P189" s="3">
        <v>0.97916666666666663</v>
      </c>
    </row>
    <row r="190" spans="1:16" x14ac:dyDescent="0.25">
      <c r="A190" s="2">
        <v>46241</v>
      </c>
      <c r="B190" s="2">
        <v>46211</v>
      </c>
      <c r="C190" t="str">
        <f t="shared" si="6"/>
        <v>07</v>
      </c>
      <c r="D190" t="s">
        <v>22</v>
      </c>
      <c r="E190" t="s">
        <v>159</v>
      </c>
      <c r="F190" s="5">
        <v>145200000</v>
      </c>
      <c r="G190" s="5">
        <v>148200000</v>
      </c>
      <c r="H190" s="5">
        <f t="shared" si="7"/>
        <v>126795075.81000002</v>
      </c>
      <c r="I190" s="5">
        <f t="shared" si="8"/>
        <v>21404924.189999983</v>
      </c>
      <c r="J190" s="5">
        <v>3000000</v>
      </c>
      <c r="K190" s="5">
        <v>14520000</v>
      </c>
      <c r="L190" s="5">
        <v>14820000</v>
      </c>
      <c r="M190" s="7">
        <v>4044.9</v>
      </c>
      <c r="N190" s="5">
        <v>145500000</v>
      </c>
      <c r="O190" s="5">
        <v>148500000</v>
      </c>
      <c r="P190" s="3">
        <v>0.97916666666666663</v>
      </c>
    </row>
    <row r="191" spans="1:16" x14ac:dyDescent="0.25">
      <c r="A191" s="2">
        <v>46272</v>
      </c>
      <c r="B191" s="2">
        <v>46212</v>
      </c>
      <c r="C191" t="str">
        <f t="shared" si="6"/>
        <v>07</v>
      </c>
      <c r="D191" t="s">
        <v>16</v>
      </c>
      <c r="E191" t="s">
        <v>159</v>
      </c>
      <c r="F191" s="5">
        <v>145700000</v>
      </c>
      <c r="G191" s="5">
        <v>148700000</v>
      </c>
      <c r="H191" s="5">
        <f t="shared" si="7"/>
        <v>129494043.90000001</v>
      </c>
      <c r="I191" s="5">
        <f t="shared" si="8"/>
        <v>19205956.099999994</v>
      </c>
      <c r="J191" s="5">
        <v>3000000</v>
      </c>
      <c r="K191" s="5">
        <v>14570000</v>
      </c>
      <c r="L191" s="5">
        <v>14870000</v>
      </c>
      <c r="M191" s="7">
        <v>4131</v>
      </c>
      <c r="N191" s="5">
        <v>146000000</v>
      </c>
      <c r="O191" s="5">
        <v>149000000</v>
      </c>
      <c r="P191" s="3">
        <v>0.97916666666666663</v>
      </c>
    </row>
    <row r="192" spans="1:16" x14ac:dyDescent="0.25">
      <c r="A192" s="2">
        <v>46302</v>
      </c>
      <c r="B192" s="2">
        <v>46213</v>
      </c>
      <c r="C192" t="str">
        <f t="shared" si="6"/>
        <v>07</v>
      </c>
      <c r="D192" t="s">
        <v>17</v>
      </c>
      <c r="E192" t="s">
        <v>159</v>
      </c>
      <c r="F192" s="5">
        <v>146400000</v>
      </c>
      <c r="G192" s="5">
        <v>149400000</v>
      </c>
      <c r="H192" s="5">
        <f t="shared" si="7"/>
        <v>128591253.18000001</v>
      </c>
      <c r="I192" s="5">
        <f t="shared" si="8"/>
        <v>20808746.819999993</v>
      </c>
      <c r="J192" s="5">
        <v>3000000</v>
      </c>
      <c r="K192" s="5">
        <v>14640000</v>
      </c>
      <c r="L192" s="5">
        <v>14940000</v>
      </c>
      <c r="M192" s="7">
        <v>4102.2</v>
      </c>
      <c r="N192" s="5">
        <v>146900000</v>
      </c>
      <c r="O192" s="5">
        <v>149900000</v>
      </c>
      <c r="P192" s="3">
        <v>0.9375</v>
      </c>
    </row>
    <row r="193" spans="1:16" x14ac:dyDescent="0.25">
      <c r="A193" s="2">
        <v>46333</v>
      </c>
      <c r="B193" s="2">
        <v>46214</v>
      </c>
      <c r="C193" t="str">
        <f t="shared" si="6"/>
        <v>07</v>
      </c>
      <c r="D193" t="s">
        <v>18</v>
      </c>
      <c r="E193" t="s">
        <v>159</v>
      </c>
      <c r="F193" s="5">
        <v>146400000</v>
      </c>
      <c r="G193" s="5">
        <v>149400000</v>
      </c>
      <c r="H193" s="5">
        <f t="shared" si="7"/>
        <v>129193113.66</v>
      </c>
      <c r="I193" s="5">
        <f t="shared" si="8"/>
        <v>20206886.340000004</v>
      </c>
      <c r="J193" s="5">
        <v>3000000</v>
      </c>
      <c r="K193" s="5">
        <v>14640000</v>
      </c>
      <c r="L193" s="5">
        <v>14940000</v>
      </c>
      <c r="M193" s="7">
        <v>4121.3999999999996</v>
      </c>
      <c r="N193" s="5">
        <v>146900000</v>
      </c>
      <c r="O193" s="5">
        <v>149900000</v>
      </c>
      <c r="P193" s="3">
        <v>0.375</v>
      </c>
    </row>
    <row r="194" spans="1:16" x14ac:dyDescent="0.25">
      <c r="A194" s="2">
        <v>46363</v>
      </c>
      <c r="B194" s="2">
        <v>46215</v>
      </c>
      <c r="C194" t="str">
        <f t="shared" ref="C194:C257" si="9">TEXT(B194,"mm")</f>
        <v>07</v>
      </c>
      <c r="D194" t="s">
        <v>19</v>
      </c>
      <c r="E194" t="s">
        <v>159</v>
      </c>
      <c r="F194" s="5">
        <v>146400000</v>
      </c>
      <c r="G194" s="5">
        <v>149400000</v>
      </c>
      <c r="H194" s="5">
        <f t="shared" ref="H194:H233" si="10">M194*26000*1.20565</f>
        <v>129193113.66</v>
      </c>
      <c r="I194" s="5">
        <f t="shared" ref="I194:I257" si="11">G194-H194</f>
        <v>20206886.340000004</v>
      </c>
      <c r="J194" s="5">
        <v>3000000</v>
      </c>
      <c r="K194" s="5">
        <v>14640000</v>
      </c>
      <c r="L194" s="5">
        <v>14940000</v>
      </c>
      <c r="M194" s="7">
        <v>4121.3999999999996</v>
      </c>
      <c r="N194" s="5">
        <v>146900000</v>
      </c>
      <c r="O194" s="5">
        <v>149900000</v>
      </c>
      <c r="P194" s="3">
        <v>0</v>
      </c>
    </row>
    <row r="195" spans="1:16" x14ac:dyDescent="0.25">
      <c r="A195" t="s">
        <v>132</v>
      </c>
      <c r="B195" s="2">
        <v>46216</v>
      </c>
      <c r="C195" t="str">
        <f t="shared" si="9"/>
        <v>07</v>
      </c>
      <c r="D195" t="s">
        <v>20</v>
      </c>
      <c r="E195" t="s">
        <v>159</v>
      </c>
      <c r="F195" s="5">
        <v>144400000</v>
      </c>
      <c r="G195" s="5">
        <v>147900000</v>
      </c>
      <c r="H195" s="5">
        <f t="shared" si="10"/>
        <v>125807648.46000001</v>
      </c>
      <c r="I195" s="5">
        <f t="shared" si="11"/>
        <v>22092351.539999992</v>
      </c>
      <c r="J195" s="5">
        <v>3500000</v>
      </c>
      <c r="K195" s="5">
        <v>14440000</v>
      </c>
      <c r="L195" s="5">
        <v>14790000</v>
      </c>
      <c r="M195" s="7">
        <v>4013.4</v>
      </c>
      <c r="N195" s="5">
        <v>145400000</v>
      </c>
      <c r="O195" s="5">
        <v>148400000</v>
      </c>
      <c r="P195" s="3">
        <v>0.91666666666666663</v>
      </c>
    </row>
    <row r="196" spans="1:16" x14ac:dyDescent="0.25">
      <c r="A196" t="s">
        <v>133</v>
      </c>
      <c r="B196" s="2">
        <v>46217</v>
      </c>
      <c r="C196" t="str">
        <f t="shared" si="9"/>
        <v>07</v>
      </c>
      <c r="D196" t="s">
        <v>21</v>
      </c>
      <c r="E196" t="s">
        <v>159</v>
      </c>
      <c r="F196" s="5">
        <v>143500000</v>
      </c>
      <c r="G196" s="5">
        <v>147000000</v>
      </c>
      <c r="H196" s="5">
        <f t="shared" si="10"/>
        <v>127315434.35000001</v>
      </c>
      <c r="I196" s="5">
        <f t="shared" si="11"/>
        <v>19684565.649999991</v>
      </c>
      <c r="J196" s="5">
        <v>3500000</v>
      </c>
      <c r="K196" s="5">
        <v>14350000</v>
      </c>
      <c r="L196" s="5">
        <v>14700000</v>
      </c>
      <c r="M196" s="7">
        <v>4061.5</v>
      </c>
      <c r="N196" s="5">
        <v>144500000</v>
      </c>
      <c r="O196" s="5">
        <v>147500000</v>
      </c>
      <c r="P196" s="3">
        <v>0.97916666666666663</v>
      </c>
    </row>
    <row r="197" spans="1:16" x14ac:dyDescent="0.25">
      <c r="A197" t="s">
        <v>134</v>
      </c>
      <c r="B197" s="2">
        <v>46218</v>
      </c>
      <c r="C197" t="str">
        <f t="shared" si="9"/>
        <v>07</v>
      </c>
      <c r="D197" t="s">
        <v>22</v>
      </c>
      <c r="E197" t="s">
        <v>159</v>
      </c>
      <c r="F197" s="5">
        <v>144500000</v>
      </c>
      <c r="G197" s="5">
        <v>148000000</v>
      </c>
      <c r="H197" s="5">
        <f t="shared" si="10"/>
        <v>126494145.57000001</v>
      </c>
      <c r="I197" s="5">
        <f t="shared" si="11"/>
        <v>21505854.429999992</v>
      </c>
      <c r="J197" s="5">
        <v>3500000</v>
      </c>
      <c r="K197" s="5">
        <v>14450000</v>
      </c>
      <c r="L197" s="5">
        <v>14800000</v>
      </c>
      <c r="M197" s="7">
        <v>4035.3</v>
      </c>
      <c r="N197" s="5">
        <v>145500000</v>
      </c>
      <c r="O197" s="5">
        <v>148500000</v>
      </c>
      <c r="P197" s="3">
        <v>0.97916666666666663</v>
      </c>
    </row>
    <row r="198" spans="1:16" x14ac:dyDescent="0.25">
      <c r="A198" t="s">
        <v>135</v>
      </c>
      <c r="B198" s="2">
        <v>46219</v>
      </c>
      <c r="C198" t="str">
        <f t="shared" si="9"/>
        <v>07</v>
      </c>
      <c r="D198" t="s">
        <v>16</v>
      </c>
      <c r="E198" t="s">
        <v>159</v>
      </c>
      <c r="F198" s="5">
        <v>143700000</v>
      </c>
      <c r="G198" s="5">
        <v>147200000</v>
      </c>
      <c r="H198" s="5">
        <f t="shared" si="10"/>
        <v>124967551.54000001</v>
      </c>
      <c r="I198" s="5">
        <f t="shared" si="11"/>
        <v>22232448.459999993</v>
      </c>
      <c r="J198" s="5">
        <v>3500000</v>
      </c>
      <c r="K198" s="5">
        <v>14370000</v>
      </c>
      <c r="L198" s="5">
        <v>14720000</v>
      </c>
      <c r="M198" s="7">
        <v>3986.6</v>
      </c>
      <c r="N198" s="5">
        <v>145200000</v>
      </c>
      <c r="O198" s="5">
        <v>148200000</v>
      </c>
      <c r="P198" s="3">
        <v>0.97916666666666663</v>
      </c>
    </row>
    <row r="199" spans="1:16" x14ac:dyDescent="0.25">
      <c r="A199" t="s">
        <v>136</v>
      </c>
      <c r="B199" s="2">
        <v>46220</v>
      </c>
      <c r="C199" t="str">
        <f t="shared" si="9"/>
        <v>07</v>
      </c>
      <c r="D199" t="s">
        <v>17</v>
      </c>
      <c r="E199" t="s">
        <v>159</v>
      </c>
      <c r="F199" s="5">
        <v>142100000</v>
      </c>
      <c r="G199" s="5">
        <v>145600000</v>
      </c>
      <c r="H199" s="5">
        <f t="shared" si="10"/>
        <v>126045884.90000001</v>
      </c>
      <c r="I199" s="5">
        <f t="shared" si="11"/>
        <v>19554115.099999994</v>
      </c>
      <c r="J199" s="5">
        <v>3500000</v>
      </c>
      <c r="K199" s="5">
        <v>14210000</v>
      </c>
      <c r="L199" s="5">
        <v>14560000</v>
      </c>
      <c r="M199" s="7">
        <v>4021</v>
      </c>
      <c r="N199" s="5">
        <v>143600000</v>
      </c>
      <c r="O199" s="5">
        <v>146600000</v>
      </c>
      <c r="P199" s="3">
        <v>0.97916666666666663</v>
      </c>
    </row>
    <row r="200" spans="1:16" x14ac:dyDescent="0.25">
      <c r="A200" t="s">
        <v>137</v>
      </c>
      <c r="B200" s="2">
        <v>46221</v>
      </c>
      <c r="C200" t="str">
        <f t="shared" si="9"/>
        <v>07</v>
      </c>
      <c r="D200" t="s">
        <v>18</v>
      </c>
      <c r="E200" t="s">
        <v>159</v>
      </c>
      <c r="F200" s="5">
        <v>143000000</v>
      </c>
      <c r="G200" s="5">
        <v>146500000</v>
      </c>
      <c r="H200" s="5">
        <f t="shared" si="10"/>
        <v>125992595.17000002</v>
      </c>
      <c r="I200" s="5">
        <f t="shared" si="11"/>
        <v>20507404.829999983</v>
      </c>
      <c r="J200" s="5">
        <v>3500000</v>
      </c>
      <c r="K200" s="5">
        <v>14300000</v>
      </c>
      <c r="L200" s="5">
        <v>14650000</v>
      </c>
      <c r="M200" s="7">
        <v>4019.3</v>
      </c>
      <c r="N200" s="5">
        <v>144500000</v>
      </c>
      <c r="O200" s="5">
        <v>147500000</v>
      </c>
      <c r="P200" s="3">
        <v>0.39583333333333331</v>
      </c>
    </row>
    <row r="201" spans="1:16" x14ac:dyDescent="0.25">
      <c r="A201" t="s">
        <v>138</v>
      </c>
      <c r="B201" s="2">
        <v>46222</v>
      </c>
      <c r="C201" t="str">
        <f t="shared" si="9"/>
        <v>07</v>
      </c>
      <c r="D201" t="s">
        <v>19</v>
      </c>
      <c r="E201" t="s">
        <v>159</v>
      </c>
      <c r="F201" s="5">
        <v>143000000</v>
      </c>
      <c r="G201" s="5">
        <v>146500000</v>
      </c>
      <c r="H201" s="5">
        <f t="shared" si="10"/>
        <v>125992595.17000002</v>
      </c>
      <c r="I201" s="5">
        <f t="shared" si="11"/>
        <v>20507404.829999983</v>
      </c>
      <c r="J201" s="5">
        <v>3500000</v>
      </c>
      <c r="K201" s="5">
        <v>14300000</v>
      </c>
      <c r="L201" s="5">
        <v>14650000</v>
      </c>
      <c r="M201" s="7">
        <v>4019.3</v>
      </c>
      <c r="N201" s="5">
        <v>144500000</v>
      </c>
      <c r="O201" s="5">
        <v>147500000</v>
      </c>
      <c r="P201" s="3">
        <v>0.97916666666666663</v>
      </c>
    </row>
    <row r="202" spans="1:16" x14ac:dyDescent="0.25">
      <c r="A202" t="s">
        <v>139</v>
      </c>
      <c r="B202" s="2">
        <v>46223</v>
      </c>
      <c r="C202" t="str">
        <f t="shared" si="9"/>
        <v>07</v>
      </c>
      <c r="D202" t="s">
        <v>20</v>
      </c>
      <c r="E202" t="s">
        <v>159</v>
      </c>
      <c r="F202" s="5">
        <v>141500000</v>
      </c>
      <c r="G202" s="5">
        <v>145000000</v>
      </c>
      <c r="H202" s="5">
        <f t="shared" si="10"/>
        <v>125810783.15000001</v>
      </c>
      <c r="I202" s="5">
        <f t="shared" si="11"/>
        <v>19189216.849999994</v>
      </c>
      <c r="J202" s="5">
        <v>3500000</v>
      </c>
      <c r="K202" s="5">
        <v>14150000</v>
      </c>
      <c r="L202" s="5">
        <v>14500000</v>
      </c>
      <c r="M202" s="7">
        <v>4013.5</v>
      </c>
      <c r="N202" s="5">
        <v>143000000</v>
      </c>
      <c r="O202" s="5">
        <v>146000000</v>
      </c>
      <c r="P202" s="3">
        <v>0.97916666666666663</v>
      </c>
    </row>
    <row r="203" spans="1:16" x14ac:dyDescent="0.25">
      <c r="A203" t="s">
        <v>140</v>
      </c>
      <c r="B203" s="2">
        <v>46224</v>
      </c>
      <c r="C203" t="str">
        <f t="shared" si="9"/>
        <v>07</v>
      </c>
      <c r="D203" t="s">
        <v>21</v>
      </c>
      <c r="E203" t="s">
        <v>159</v>
      </c>
      <c r="F203" s="5">
        <v>141900000</v>
      </c>
      <c r="G203" s="5">
        <v>145400000</v>
      </c>
      <c r="H203" s="5">
        <f t="shared" si="10"/>
        <v>127791907.23000002</v>
      </c>
      <c r="I203" s="5">
        <f t="shared" si="11"/>
        <v>17608092.769999981</v>
      </c>
      <c r="J203" s="5">
        <v>3500000</v>
      </c>
      <c r="K203" s="5">
        <v>14190000</v>
      </c>
      <c r="L203" s="5">
        <v>14540000</v>
      </c>
      <c r="M203" s="7">
        <v>4076.7</v>
      </c>
      <c r="N203" s="5">
        <v>143400000</v>
      </c>
      <c r="O203" s="5">
        <v>146400000</v>
      </c>
      <c r="P203" s="3">
        <v>0.97916666666666663</v>
      </c>
    </row>
    <row r="204" spans="1:16" x14ac:dyDescent="0.25">
      <c r="A204" t="s">
        <v>141</v>
      </c>
      <c r="B204" s="2">
        <v>46225</v>
      </c>
      <c r="C204" t="str">
        <f t="shared" si="9"/>
        <v>07</v>
      </c>
      <c r="D204" t="s">
        <v>22</v>
      </c>
      <c r="E204" t="s">
        <v>159</v>
      </c>
      <c r="F204" s="5">
        <v>141000000</v>
      </c>
      <c r="G204" s="5">
        <v>145000000</v>
      </c>
      <c r="H204" s="5">
        <f t="shared" si="10"/>
        <v>130083365.62</v>
      </c>
      <c r="I204" s="5">
        <f t="shared" si="11"/>
        <v>14916634.379999995</v>
      </c>
      <c r="J204" s="5">
        <v>4000000</v>
      </c>
      <c r="K204" s="5">
        <v>14100000</v>
      </c>
      <c r="L204" s="5">
        <v>14500000</v>
      </c>
      <c r="M204" s="7">
        <v>4149.8</v>
      </c>
      <c r="N204" s="5">
        <v>142000000</v>
      </c>
      <c r="O204" s="5">
        <v>146000000</v>
      </c>
      <c r="P204" s="3">
        <v>0.97916666666666663</v>
      </c>
    </row>
    <row r="205" spans="1:16" x14ac:dyDescent="0.25">
      <c r="A205" t="s">
        <v>142</v>
      </c>
      <c r="B205" s="2">
        <v>46226</v>
      </c>
      <c r="C205" t="str">
        <f t="shared" si="9"/>
        <v>07</v>
      </c>
      <c r="D205" t="s">
        <v>16</v>
      </c>
      <c r="E205" t="s">
        <v>159</v>
      </c>
      <c r="F205" s="5">
        <v>134000000</v>
      </c>
      <c r="G205" s="5">
        <v>139000000</v>
      </c>
      <c r="H205" s="5">
        <f t="shared" si="10"/>
        <v>126995695.97000001</v>
      </c>
      <c r="I205" s="5">
        <f t="shared" si="11"/>
        <v>12004304.029999986</v>
      </c>
      <c r="J205" s="5">
        <v>5000000</v>
      </c>
      <c r="K205" s="5">
        <v>13400000</v>
      </c>
      <c r="L205" s="5">
        <v>13900000</v>
      </c>
      <c r="M205" s="7">
        <v>4051.3</v>
      </c>
      <c r="N205" s="5">
        <v>135000000</v>
      </c>
      <c r="O205" s="5">
        <v>140000000</v>
      </c>
      <c r="P205" s="3">
        <v>0.97916666666666663</v>
      </c>
    </row>
    <row r="206" spans="1:16" x14ac:dyDescent="0.25">
      <c r="A206" t="s">
        <v>143</v>
      </c>
      <c r="B206" s="2">
        <v>46227</v>
      </c>
      <c r="C206" t="str">
        <f t="shared" si="9"/>
        <v>07</v>
      </c>
      <c r="D206" t="s">
        <v>17</v>
      </c>
      <c r="E206" t="s">
        <v>159</v>
      </c>
      <c r="F206" s="5">
        <v>135000000</v>
      </c>
      <c r="G206" s="5">
        <v>140000000</v>
      </c>
      <c r="H206" s="5">
        <f t="shared" si="10"/>
        <v>127826388.82000001</v>
      </c>
      <c r="I206" s="5">
        <f t="shared" si="11"/>
        <v>12173611.179999992</v>
      </c>
      <c r="J206" s="5">
        <v>5000000</v>
      </c>
      <c r="K206" s="5">
        <v>13500000</v>
      </c>
      <c r="L206" s="5">
        <v>14000000</v>
      </c>
      <c r="M206" s="7">
        <v>4077.8</v>
      </c>
      <c r="N206" s="5">
        <v>135500000</v>
      </c>
      <c r="O206" s="5">
        <v>140500000</v>
      </c>
      <c r="P206" s="3">
        <v>0.97916666666666663</v>
      </c>
    </row>
    <row r="207" spans="1:16" x14ac:dyDescent="0.25">
      <c r="A207" t="s">
        <v>144</v>
      </c>
      <c r="B207" s="2">
        <v>46228</v>
      </c>
      <c r="C207" t="str">
        <f t="shared" si="9"/>
        <v>07</v>
      </c>
      <c r="D207" t="s">
        <v>18</v>
      </c>
      <c r="E207" t="s">
        <v>159</v>
      </c>
      <c r="F207" s="5">
        <v>137000000</v>
      </c>
      <c r="G207" s="5">
        <v>141000000</v>
      </c>
      <c r="H207" s="5">
        <f t="shared" si="10"/>
        <v>127070928.53000002</v>
      </c>
      <c r="I207" s="5">
        <f t="shared" si="11"/>
        <v>13929071.469999984</v>
      </c>
      <c r="J207" s="5">
        <v>4000000</v>
      </c>
      <c r="K207" s="5">
        <v>13700000</v>
      </c>
      <c r="L207" s="5">
        <v>14100000</v>
      </c>
      <c r="M207" s="7">
        <v>4053.7</v>
      </c>
      <c r="N207" s="5">
        <v>137500000</v>
      </c>
      <c r="O207" s="5">
        <v>141500000</v>
      </c>
      <c r="P207" s="3">
        <v>0.39583333333333331</v>
      </c>
    </row>
    <row r="208" spans="1:16" x14ac:dyDescent="0.25">
      <c r="A208" t="s">
        <v>145</v>
      </c>
      <c r="B208" s="2">
        <v>46229</v>
      </c>
      <c r="C208" t="str">
        <f t="shared" si="9"/>
        <v>07</v>
      </c>
      <c r="D208" t="s">
        <v>19</v>
      </c>
      <c r="E208" t="s">
        <v>159</v>
      </c>
      <c r="F208" s="5">
        <v>137000000</v>
      </c>
      <c r="G208" s="5">
        <v>141000000</v>
      </c>
      <c r="H208" s="5">
        <f t="shared" si="10"/>
        <v>127070928.53000002</v>
      </c>
      <c r="I208" s="5">
        <f t="shared" si="11"/>
        <v>13929071.469999984</v>
      </c>
      <c r="J208" s="5">
        <v>4000000</v>
      </c>
      <c r="K208" s="5">
        <v>13700000</v>
      </c>
      <c r="L208" s="5">
        <v>14100000</v>
      </c>
      <c r="M208" s="7">
        <v>4053.7</v>
      </c>
      <c r="N208" s="5">
        <v>137500000</v>
      </c>
      <c r="O208" s="5">
        <v>141500000</v>
      </c>
      <c r="P208" s="3">
        <v>0</v>
      </c>
    </row>
    <row r="209" spans="1:16" x14ac:dyDescent="0.25">
      <c r="A209" t="s">
        <v>146</v>
      </c>
      <c r="B209" s="2">
        <v>46230</v>
      </c>
      <c r="C209" t="str">
        <f t="shared" si="9"/>
        <v>07</v>
      </c>
      <c r="D209" t="s">
        <v>20</v>
      </c>
      <c r="E209" t="s">
        <v>159</v>
      </c>
      <c r="F209" s="5">
        <v>138500000</v>
      </c>
      <c r="G209" s="5">
        <v>142500000</v>
      </c>
      <c r="H209" s="5">
        <f t="shared" si="10"/>
        <v>128114780.30000001</v>
      </c>
      <c r="I209" s="5">
        <f t="shared" si="11"/>
        <v>14385219.699999988</v>
      </c>
      <c r="J209" s="5">
        <v>4000000</v>
      </c>
      <c r="K209" s="5">
        <v>13850000</v>
      </c>
      <c r="L209" s="5">
        <v>14250000</v>
      </c>
      <c r="M209" s="7">
        <v>4087</v>
      </c>
      <c r="N209" s="5">
        <v>139000000</v>
      </c>
      <c r="O209" s="5">
        <v>143000000</v>
      </c>
      <c r="P209" s="3">
        <v>0.97916666666666663</v>
      </c>
    </row>
    <row r="210" spans="1:16" x14ac:dyDescent="0.25">
      <c r="A210" t="s">
        <v>147</v>
      </c>
      <c r="B210" s="2">
        <v>46231</v>
      </c>
      <c r="C210" t="str">
        <f t="shared" si="9"/>
        <v>07</v>
      </c>
      <c r="D210" t="s">
        <v>21</v>
      </c>
      <c r="E210" t="s">
        <v>159</v>
      </c>
      <c r="F210" s="5">
        <v>137000000</v>
      </c>
      <c r="G210" s="5">
        <v>141000000</v>
      </c>
      <c r="H210" s="5">
        <f t="shared" si="10"/>
        <v>126766863.60000001</v>
      </c>
      <c r="I210" s="5">
        <f t="shared" si="11"/>
        <v>14233136.399999991</v>
      </c>
      <c r="J210" s="5">
        <v>4000000</v>
      </c>
      <c r="K210" s="5">
        <v>13700000</v>
      </c>
      <c r="L210" s="5">
        <v>14100000</v>
      </c>
      <c r="M210" s="7">
        <v>4044</v>
      </c>
      <c r="N210" s="5">
        <v>137500000</v>
      </c>
      <c r="O210" s="5">
        <v>141500000</v>
      </c>
      <c r="P210" s="3">
        <v>0.97916666666666663</v>
      </c>
    </row>
    <row r="211" spans="1:16" x14ac:dyDescent="0.25">
      <c r="A211" t="s">
        <v>148</v>
      </c>
      <c r="B211" s="2">
        <v>46232</v>
      </c>
      <c r="C211" t="str">
        <f t="shared" si="9"/>
        <v>07</v>
      </c>
      <c r="D211" t="s">
        <v>22</v>
      </c>
      <c r="E211" t="s">
        <v>159</v>
      </c>
      <c r="F211" s="5">
        <v>137000000</v>
      </c>
      <c r="G211" s="5">
        <v>141000000</v>
      </c>
      <c r="H211" s="5">
        <f t="shared" si="10"/>
        <v>125929901.37</v>
      </c>
      <c r="I211" s="5">
        <f t="shared" si="11"/>
        <v>15070098.629999995</v>
      </c>
      <c r="J211" s="5">
        <v>4000000</v>
      </c>
      <c r="K211" s="5">
        <v>13700000</v>
      </c>
      <c r="L211" s="5">
        <v>14100000</v>
      </c>
      <c r="M211" s="7">
        <v>4017.3</v>
      </c>
      <c r="N211" s="5">
        <v>137500000</v>
      </c>
      <c r="O211" s="5">
        <v>141500000</v>
      </c>
      <c r="P211" s="3">
        <v>0.97916666666666663</v>
      </c>
    </row>
    <row r="212" spans="1:16" x14ac:dyDescent="0.25">
      <c r="A212" t="s">
        <v>149</v>
      </c>
      <c r="B212" s="2">
        <v>46233</v>
      </c>
      <c r="C212" t="str">
        <f t="shared" si="9"/>
        <v>07</v>
      </c>
      <c r="D212" t="s">
        <v>16</v>
      </c>
      <c r="E212" t="s">
        <v>159</v>
      </c>
      <c r="F212" s="5">
        <v>137200000</v>
      </c>
      <c r="G212" s="5">
        <v>141200000</v>
      </c>
      <c r="H212" s="5">
        <f t="shared" si="10"/>
        <v>129080264.82000001</v>
      </c>
      <c r="I212" s="5">
        <f t="shared" si="11"/>
        <v>12119735.179999992</v>
      </c>
      <c r="J212" s="5">
        <v>4000000</v>
      </c>
      <c r="K212" s="5">
        <v>13720000</v>
      </c>
      <c r="L212" s="5">
        <v>14120000</v>
      </c>
      <c r="M212" s="7">
        <v>4117.8</v>
      </c>
      <c r="N212" s="5">
        <v>137700000</v>
      </c>
      <c r="O212" s="5">
        <v>141700000</v>
      </c>
      <c r="P212" s="3">
        <v>0.97916666666666663</v>
      </c>
    </row>
    <row r="213" spans="1:16" x14ac:dyDescent="0.25">
      <c r="A213" t="s">
        <v>150</v>
      </c>
      <c r="B213" s="2">
        <v>46234</v>
      </c>
      <c r="C213" t="str">
        <f t="shared" si="9"/>
        <v>07</v>
      </c>
      <c r="D213" t="s">
        <v>17</v>
      </c>
      <c r="E213" t="s">
        <v>159</v>
      </c>
      <c r="F213" s="5">
        <v>137400000</v>
      </c>
      <c r="G213" s="5">
        <v>141400000</v>
      </c>
      <c r="H213" s="5">
        <f t="shared" si="10"/>
        <v>126892251.20000002</v>
      </c>
      <c r="I213" s="5">
        <f t="shared" si="11"/>
        <v>14507748.799999982</v>
      </c>
      <c r="J213" s="5">
        <v>4000000</v>
      </c>
      <c r="K213" s="5">
        <v>13740000</v>
      </c>
      <c r="L213" s="5">
        <v>14140000</v>
      </c>
      <c r="M213" s="7">
        <v>4048</v>
      </c>
      <c r="N213" s="5">
        <v>137900000</v>
      </c>
      <c r="O213" s="5">
        <v>141900000</v>
      </c>
      <c r="P213" s="3">
        <v>0.97916666666666663</v>
      </c>
    </row>
    <row r="214" spans="1:16" x14ac:dyDescent="0.25">
      <c r="A214" s="2">
        <v>46030</v>
      </c>
      <c r="B214" s="2">
        <v>46235</v>
      </c>
      <c r="C214" t="str">
        <f t="shared" si="9"/>
        <v>08</v>
      </c>
      <c r="D214" t="s">
        <v>18</v>
      </c>
      <c r="E214" t="s">
        <v>159</v>
      </c>
      <c r="F214" s="5">
        <v>136500000</v>
      </c>
      <c r="G214" s="5">
        <v>140500000</v>
      </c>
      <c r="H214" s="5">
        <f t="shared" si="10"/>
        <v>126757459.53000002</v>
      </c>
      <c r="I214" s="5">
        <f t="shared" si="11"/>
        <v>13742540.469999984</v>
      </c>
      <c r="J214" s="5">
        <v>4000000</v>
      </c>
      <c r="K214" s="5">
        <v>13650000</v>
      </c>
      <c r="L214" s="5">
        <v>14050000</v>
      </c>
      <c r="M214" s="7">
        <v>4043.7</v>
      </c>
      <c r="N214" s="5">
        <v>137000000</v>
      </c>
      <c r="O214" s="5">
        <v>141000000</v>
      </c>
      <c r="P214" s="3">
        <v>0.39583333333333331</v>
      </c>
    </row>
    <row r="215" spans="1:16" x14ac:dyDescent="0.25">
      <c r="A215" s="2">
        <v>46061</v>
      </c>
      <c r="B215" s="2">
        <v>46236</v>
      </c>
      <c r="C215" t="str">
        <f t="shared" si="9"/>
        <v>08</v>
      </c>
      <c r="D215" t="s">
        <v>19</v>
      </c>
      <c r="E215" t="s">
        <v>159</v>
      </c>
      <c r="F215" s="5">
        <v>136500000</v>
      </c>
      <c r="G215" s="5">
        <v>140500000</v>
      </c>
      <c r="H215" s="5">
        <f t="shared" si="10"/>
        <v>126757459.53000002</v>
      </c>
      <c r="I215" s="5">
        <f t="shared" si="11"/>
        <v>13742540.469999984</v>
      </c>
      <c r="J215" s="5">
        <v>4000000</v>
      </c>
      <c r="K215" s="5">
        <v>13650000</v>
      </c>
      <c r="L215" s="5">
        <v>14050000</v>
      </c>
      <c r="M215" s="7">
        <v>4043.7</v>
      </c>
      <c r="N215" s="5">
        <v>137000000</v>
      </c>
      <c r="O215" s="5">
        <v>141000000</v>
      </c>
      <c r="P215" s="3">
        <v>0</v>
      </c>
    </row>
    <row r="216" spans="1:16" x14ac:dyDescent="0.25">
      <c r="A216" s="2">
        <v>46089</v>
      </c>
      <c r="B216" s="2">
        <v>46237</v>
      </c>
      <c r="C216" t="str">
        <f t="shared" si="9"/>
        <v>08</v>
      </c>
      <c r="D216" t="s">
        <v>20</v>
      </c>
      <c r="E216" t="s">
        <v>159</v>
      </c>
      <c r="F216" s="5">
        <v>136500000</v>
      </c>
      <c r="G216" s="5">
        <v>140500000</v>
      </c>
      <c r="H216" s="5">
        <f t="shared" si="10"/>
        <v>126585051.58000001</v>
      </c>
      <c r="I216" s="5">
        <f t="shared" si="11"/>
        <v>13914948.419999987</v>
      </c>
      <c r="J216" s="5">
        <v>4000000</v>
      </c>
      <c r="K216" s="5">
        <v>13650000</v>
      </c>
      <c r="L216" s="5">
        <v>14050000</v>
      </c>
      <c r="M216" s="7">
        <v>4038.2</v>
      </c>
      <c r="N216" s="5">
        <v>137500000</v>
      </c>
      <c r="O216" s="5">
        <v>141000000</v>
      </c>
      <c r="P216" s="3">
        <v>0.97916666666666663</v>
      </c>
    </row>
    <row r="217" spans="1:16" x14ac:dyDescent="0.25">
      <c r="A217" s="2">
        <v>46120</v>
      </c>
      <c r="B217" s="2">
        <v>46238</v>
      </c>
      <c r="C217" t="str">
        <f t="shared" si="9"/>
        <v>08</v>
      </c>
      <c r="D217" t="s">
        <v>21</v>
      </c>
      <c r="E217" t="s">
        <v>159</v>
      </c>
      <c r="F217" s="5">
        <v>136500000</v>
      </c>
      <c r="G217" s="5">
        <v>140000000</v>
      </c>
      <c r="H217" s="5">
        <f t="shared" si="10"/>
        <v>128227629.14000002</v>
      </c>
      <c r="I217" s="5">
        <f t="shared" si="11"/>
        <v>11772370.859999985</v>
      </c>
      <c r="J217" s="5">
        <v>3500000</v>
      </c>
      <c r="K217" s="5">
        <v>13650000</v>
      </c>
      <c r="L217" s="5">
        <v>14000000</v>
      </c>
      <c r="M217" s="7">
        <v>4090.6</v>
      </c>
      <c r="N217" s="5">
        <v>137500000</v>
      </c>
      <c r="O217" s="5">
        <v>140500000</v>
      </c>
      <c r="P217" s="3">
        <v>0.97916666666666663</v>
      </c>
    </row>
    <row r="218" spans="1:16" x14ac:dyDescent="0.25">
      <c r="A218" s="2">
        <v>46150</v>
      </c>
      <c r="B218" s="2">
        <v>46239</v>
      </c>
      <c r="C218" t="str">
        <f t="shared" si="9"/>
        <v>08</v>
      </c>
      <c r="D218" t="s">
        <v>22</v>
      </c>
      <c r="E218" t="s">
        <v>159</v>
      </c>
      <c r="F218" s="5">
        <v>138300000</v>
      </c>
      <c r="G218" s="5">
        <v>141300000</v>
      </c>
      <c r="H218" s="5">
        <f t="shared" si="10"/>
        <v>132976684.49000002</v>
      </c>
      <c r="I218" s="5">
        <f t="shared" si="11"/>
        <v>8323315.5099999756</v>
      </c>
      <c r="J218" s="5">
        <v>3000000</v>
      </c>
      <c r="K218" s="5">
        <v>13830000</v>
      </c>
      <c r="L218" s="5">
        <v>14130000</v>
      </c>
      <c r="M218" s="7">
        <v>4242.1000000000004</v>
      </c>
      <c r="N218" s="5">
        <v>138800000</v>
      </c>
      <c r="O218" s="5">
        <v>141800000</v>
      </c>
      <c r="P218" s="3">
        <v>0.97916666666666663</v>
      </c>
    </row>
    <row r="219" spans="1:16" x14ac:dyDescent="0.25">
      <c r="A219" s="2">
        <v>46181</v>
      </c>
      <c r="B219" s="2">
        <v>46240</v>
      </c>
      <c r="C219" t="str">
        <f t="shared" si="9"/>
        <v>08</v>
      </c>
      <c r="D219" t="s">
        <v>16</v>
      </c>
      <c r="E219" t="s">
        <v>159</v>
      </c>
      <c r="F219" s="5">
        <v>139200000</v>
      </c>
      <c r="G219" s="5">
        <v>142200000</v>
      </c>
      <c r="H219" s="5">
        <f t="shared" si="10"/>
        <v>132550366.65000001</v>
      </c>
      <c r="I219" s="5">
        <f t="shared" si="11"/>
        <v>9649633.349999994</v>
      </c>
      <c r="J219" s="5">
        <v>3000000</v>
      </c>
      <c r="K219" s="5">
        <v>13920000</v>
      </c>
      <c r="L219" s="5">
        <v>14220000</v>
      </c>
      <c r="M219" s="7">
        <v>4228.5</v>
      </c>
      <c r="N219" s="5">
        <v>139700000</v>
      </c>
      <c r="O219" s="5">
        <v>142700000</v>
      </c>
      <c r="P219" s="3">
        <v>0.97916666666666663</v>
      </c>
    </row>
    <row r="220" spans="1:16" x14ac:dyDescent="0.25">
      <c r="A220" s="2">
        <v>46211</v>
      </c>
      <c r="B220" s="2">
        <v>46241</v>
      </c>
      <c r="C220" t="str">
        <f t="shared" si="9"/>
        <v>08</v>
      </c>
      <c r="D220" t="s">
        <v>17</v>
      </c>
      <c r="E220" t="s">
        <v>159</v>
      </c>
      <c r="F220" s="5">
        <v>138700000</v>
      </c>
      <c r="G220" s="5">
        <v>141700000</v>
      </c>
      <c r="H220" s="5">
        <f t="shared" si="10"/>
        <v>135973448.13000003</v>
      </c>
      <c r="I220" s="5">
        <f t="shared" si="11"/>
        <v>5726551.869999975</v>
      </c>
      <c r="J220" s="5">
        <v>3000000</v>
      </c>
      <c r="K220" s="5">
        <v>13870000</v>
      </c>
      <c r="L220" s="5">
        <v>14170000</v>
      </c>
      <c r="M220" s="7">
        <v>4337.7</v>
      </c>
      <c r="N220" s="5">
        <v>139200000</v>
      </c>
      <c r="O220" s="5">
        <v>142200000</v>
      </c>
      <c r="P220" s="3">
        <v>0.97916666666666663</v>
      </c>
    </row>
    <row r="221" spans="1:16" x14ac:dyDescent="0.25">
      <c r="A221" s="2">
        <v>46242</v>
      </c>
      <c r="B221" s="2">
        <v>46242</v>
      </c>
      <c r="C221" t="str">
        <f t="shared" si="9"/>
        <v>08</v>
      </c>
      <c r="D221" t="s">
        <v>18</v>
      </c>
      <c r="E221" t="s">
        <v>159</v>
      </c>
      <c r="F221" s="5">
        <v>140500000</v>
      </c>
      <c r="G221" s="5">
        <v>143500000</v>
      </c>
      <c r="H221" s="5">
        <f t="shared" si="10"/>
        <v>136148990.77000001</v>
      </c>
      <c r="I221" s="5">
        <f t="shared" si="11"/>
        <v>7351009.2299999893</v>
      </c>
      <c r="J221" s="5">
        <v>3000000</v>
      </c>
      <c r="K221" s="5">
        <v>14050000</v>
      </c>
      <c r="L221" s="5">
        <v>14350000</v>
      </c>
      <c r="M221" s="7">
        <v>4343.3</v>
      </c>
      <c r="N221" s="5">
        <v>141000000</v>
      </c>
      <c r="O221" s="5">
        <v>144000000</v>
      </c>
      <c r="P221" s="3">
        <v>0.58333333333333337</v>
      </c>
    </row>
    <row r="222" spans="1:16" x14ac:dyDescent="0.25">
      <c r="A222" s="2">
        <v>46273</v>
      </c>
      <c r="B222" s="2">
        <v>46243</v>
      </c>
      <c r="C222" t="str">
        <f t="shared" si="9"/>
        <v>08</v>
      </c>
      <c r="D222" t="s">
        <v>19</v>
      </c>
      <c r="E222" t="s">
        <v>159</v>
      </c>
      <c r="F222" s="5">
        <v>140500000</v>
      </c>
      <c r="G222" s="5">
        <v>143500000</v>
      </c>
      <c r="H222" s="5">
        <f t="shared" si="10"/>
        <v>136148990.77000001</v>
      </c>
      <c r="I222" s="5">
        <f t="shared" si="11"/>
        <v>7351009.2299999893</v>
      </c>
      <c r="J222" s="5">
        <v>3000000</v>
      </c>
      <c r="K222" s="5">
        <v>14050000</v>
      </c>
      <c r="L222" s="5">
        <v>14350000</v>
      </c>
      <c r="M222" s="7">
        <v>4343.3</v>
      </c>
      <c r="N222" s="5">
        <v>141000000</v>
      </c>
      <c r="O222" s="5">
        <v>144000000</v>
      </c>
      <c r="P222" s="3">
        <v>0</v>
      </c>
    </row>
    <row r="223" spans="1:16" x14ac:dyDescent="0.25">
      <c r="A223" s="2">
        <v>46303</v>
      </c>
      <c r="B223" s="2">
        <v>46244</v>
      </c>
      <c r="C223" t="str">
        <f t="shared" si="9"/>
        <v>08</v>
      </c>
      <c r="D223" t="s">
        <v>20</v>
      </c>
      <c r="E223" t="s">
        <v>159</v>
      </c>
      <c r="F223" s="5">
        <v>140600000</v>
      </c>
      <c r="G223" s="5">
        <v>143600000</v>
      </c>
      <c r="H223" s="5">
        <f t="shared" si="10"/>
        <v>136807275.67000002</v>
      </c>
      <c r="I223" s="5">
        <f t="shared" si="11"/>
        <v>6792724.3299999833</v>
      </c>
      <c r="J223" s="5">
        <v>3000000</v>
      </c>
      <c r="K223" s="5">
        <v>14060000</v>
      </c>
      <c r="L223" s="5">
        <v>14360000</v>
      </c>
      <c r="M223" s="7">
        <v>4364.3</v>
      </c>
      <c r="N223" s="5">
        <v>141100000</v>
      </c>
      <c r="O223" s="5">
        <v>144100000</v>
      </c>
      <c r="P223" s="3">
        <v>0.97916666666666663</v>
      </c>
    </row>
    <row r="224" spans="1:16" x14ac:dyDescent="0.25">
      <c r="A224" s="2">
        <v>46334</v>
      </c>
      <c r="B224" s="2">
        <v>46245</v>
      </c>
      <c r="C224" t="str">
        <f t="shared" si="9"/>
        <v>08</v>
      </c>
      <c r="D224" t="s">
        <v>21</v>
      </c>
      <c r="E224" t="s">
        <v>159</v>
      </c>
      <c r="F224" s="5">
        <v>140000000</v>
      </c>
      <c r="G224" s="5">
        <v>143000000</v>
      </c>
      <c r="H224" s="5">
        <f t="shared" si="10"/>
        <v>137421674.91</v>
      </c>
      <c r="I224" s="5">
        <f t="shared" si="11"/>
        <v>5578325.0900000036</v>
      </c>
      <c r="J224" s="5">
        <v>3000000</v>
      </c>
      <c r="K224" s="5">
        <v>14000000</v>
      </c>
      <c r="L224" s="5">
        <v>14300000</v>
      </c>
      <c r="M224" s="7">
        <v>4383.8999999999996</v>
      </c>
      <c r="N224" s="5">
        <v>140500000</v>
      </c>
      <c r="O224" s="5">
        <v>143500000</v>
      </c>
      <c r="P224" s="3">
        <v>0.97916666666666663</v>
      </c>
    </row>
    <row r="225" spans="1:16" x14ac:dyDescent="0.25">
      <c r="A225" s="2">
        <v>46364</v>
      </c>
      <c r="B225" s="2">
        <v>46246</v>
      </c>
      <c r="C225" t="str">
        <f t="shared" si="9"/>
        <v>08</v>
      </c>
      <c r="D225" t="s">
        <v>22</v>
      </c>
      <c r="E225" t="s">
        <v>159</v>
      </c>
      <c r="F225" s="5">
        <v>140800000</v>
      </c>
      <c r="G225" s="5">
        <v>143800000</v>
      </c>
      <c r="H225" s="5">
        <f t="shared" si="10"/>
        <v>138697493.74000004</v>
      </c>
      <c r="I225" s="5">
        <f t="shared" si="11"/>
        <v>5102506.2599999607</v>
      </c>
      <c r="J225" s="5">
        <v>3000000</v>
      </c>
      <c r="K225" s="5">
        <v>14080000</v>
      </c>
      <c r="L225" s="5">
        <v>14380000</v>
      </c>
      <c r="M225" s="7">
        <v>4424.6000000000004</v>
      </c>
      <c r="N225" s="5">
        <v>141300000</v>
      </c>
      <c r="O225" s="5">
        <v>144300000</v>
      </c>
      <c r="P225" s="3">
        <v>0.97916666666666663</v>
      </c>
    </row>
    <row r="226" spans="1:16" x14ac:dyDescent="0.25">
      <c r="A226" t="s">
        <v>151</v>
      </c>
      <c r="B226" s="2">
        <v>46247</v>
      </c>
      <c r="C226" t="str">
        <f t="shared" si="9"/>
        <v>08</v>
      </c>
      <c r="D226" t="s">
        <v>16</v>
      </c>
      <c r="E226" t="s">
        <v>159</v>
      </c>
      <c r="F226" s="5">
        <v>140800000</v>
      </c>
      <c r="G226" s="5">
        <v>143800000</v>
      </c>
      <c r="H226" s="5">
        <f t="shared" si="10"/>
        <v>136606655.50999999</v>
      </c>
      <c r="I226" s="5">
        <f t="shared" si="11"/>
        <v>7193344.4900000095</v>
      </c>
      <c r="J226" s="5">
        <v>3000000</v>
      </c>
      <c r="K226" s="5">
        <v>14080000</v>
      </c>
      <c r="L226" s="5">
        <v>14380000</v>
      </c>
      <c r="M226" s="7">
        <v>4357.8999999999996</v>
      </c>
      <c r="N226" s="5">
        <v>141300000</v>
      </c>
      <c r="O226" s="5">
        <v>144300000</v>
      </c>
      <c r="P226" s="3">
        <v>0.97916666666666663</v>
      </c>
    </row>
    <row r="227" spans="1:16" x14ac:dyDescent="0.25">
      <c r="A227" t="s">
        <v>152</v>
      </c>
      <c r="B227" s="2">
        <v>46248</v>
      </c>
      <c r="C227" t="str">
        <f t="shared" si="9"/>
        <v>08</v>
      </c>
      <c r="D227" t="s">
        <v>17</v>
      </c>
      <c r="E227" t="s">
        <v>159</v>
      </c>
      <c r="F227" s="5">
        <v>139800000</v>
      </c>
      <c r="G227" s="5">
        <v>142800000</v>
      </c>
      <c r="H227" s="5">
        <f t="shared" si="10"/>
        <v>137569005.34000003</v>
      </c>
      <c r="I227" s="5">
        <f t="shared" si="11"/>
        <v>5230994.6599999666</v>
      </c>
      <c r="J227" s="5">
        <v>3000000</v>
      </c>
      <c r="K227" s="5">
        <v>13980000</v>
      </c>
      <c r="L227" s="5">
        <v>14280000</v>
      </c>
      <c r="M227" s="7">
        <v>4388.6000000000004</v>
      </c>
      <c r="N227" s="5">
        <v>140300000</v>
      </c>
      <c r="O227" s="5">
        <v>143300000</v>
      </c>
      <c r="P227" s="3">
        <v>0.97916666666666663</v>
      </c>
    </row>
    <row r="228" spans="1:16" x14ac:dyDescent="0.25">
      <c r="A228" t="s">
        <v>153</v>
      </c>
      <c r="B228" s="2">
        <v>46249</v>
      </c>
      <c r="C228" t="str">
        <f t="shared" si="9"/>
        <v>08</v>
      </c>
      <c r="D228" t="s">
        <v>18</v>
      </c>
      <c r="E228" t="s">
        <v>159</v>
      </c>
      <c r="F228" s="5">
        <v>140500000</v>
      </c>
      <c r="G228" s="5">
        <v>143500000</v>
      </c>
      <c r="H228" s="5">
        <f t="shared" si="10"/>
        <v>137224189.44000003</v>
      </c>
      <c r="I228" s="5">
        <f t="shared" si="11"/>
        <v>6275810.5599999726</v>
      </c>
      <c r="J228" s="5">
        <v>3000000</v>
      </c>
      <c r="K228" s="5">
        <v>14050000</v>
      </c>
      <c r="L228" s="5">
        <v>14350000</v>
      </c>
      <c r="M228" s="7">
        <v>4377.6000000000004</v>
      </c>
      <c r="N228" s="5">
        <v>141000000</v>
      </c>
      <c r="O228" s="5">
        <v>144000000</v>
      </c>
      <c r="P228" s="3">
        <v>0.39583333333333331</v>
      </c>
    </row>
    <row r="229" spans="1:16" x14ac:dyDescent="0.25">
      <c r="A229" t="s">
        <v>154</v>
      </c>
      <c r="B229" s="2">
        <v>46250</v>
      </c>
      <c r="C229" t="str">
        <f t="shared" si="9"/>
        <v>08</v>
      </c>
      <c r="D229" t="s">
        <v>19</v>
      </c>
      <c r="E229" t="s">
        <v>159</v>
      </c>
      <c r="F229" s="5">
        <v>140500000</v>
      </c>
      <c r="G229" s="5">
        <v>143500000</v>
      </c>
      <c r="H229" s="5">
        <f t="shared" si="10"/>
        <v>137224189.44000003</v>
      </c>
      <c r="I229" s="5">
        <f t="shared" si="11"/>
        <v>6275810.5599999726</v>
      </c>
      <c r="J229" s="5">
        <v>3000000</v>
      </c>
      <c r="K229" s="5">
        <v>14050000</v>
      </c>
      <c r="L229" s="5">
        <v>14350000</v>
      </c>
      <c r="M229" s="7">
        <v>4377.6000000000004</v>
      </c>
      <c r="N229" s="5">
        <v>141000000</v>
      </c>
      <c r="O229" s="5">
        <v>144000000</v>
      </c>
      <c r="P229" s="3">
        <v>0</v>
      </c>
    </row>
    <row r="230" spans="1:16" x14ac:dyDescent="0.25">
      <c r="A230" t="s">
        <v>155</v>
      </c>
      <c r="B230" s="2">
        <v>46251</v>
      </c>
      <c r="C230" t="str">
        <f t="shared" si="9"/>
        <v>08</v>
      </c>
      <c r="D230" t="s">
        <v>20</v>
      </c>
      <c r="E230" t="s">
        <v>159</v>
      </c>
      <c r="F230" s="5">
        <v>140700000</v>
      </c>
      <c r="G230" s="5">
        <v>143700000</v>
      </c>
      <c r="H230" s="5">
        <f t="shared" si="10"/>
        <v>138697493.74000004</v>
      </c>
      <c r="I230" s="5">
        <f t="shared" si="11"/>
        <v>5002506.2599999607</v>
      </c>
      <c r="J230" s="5">
        <v>3000000</v>
      </c>
      <c r="K230" s="5">
        <v>14070000</v>
      </c>
      <c r="L230" s="5">
        <v>14370000</v>
      </c>
      <c r="M230" s="7">
        <v>4424.6000000000004</v>
      </c>
      <c r="N230" s="5">
        <v>141200000</v>
      </c>
      <c r="O230" s="5">
        <v>144200000</v>
      </c>
      <c r="P230" s="3">
        <v>0.97916666666666663</v>
      </c>
    </row>
    <row r="231" spans="1:16" x14ac:dyDescent="0.25">
      <c r="A231" t="s">
        <v>156</v>
      </c>
      <c r="B231" s="2">
        <v>46252</v>
      </c>
      <c r="C231" t="str">
        <f t="shared" si="9"/>
        <v>08</v>
      </c>
      <c r="D231" t="s">
        <v>21</v>
      </c>
      <c r="E231" t="s">
        <v>159</v>
      </c>
      <c r="F231" s="5">
        <v>140800000</v>
      </c>
      <c r="G231" s="5">
        <v>143800000</v>
      </c>
      <c r="H231" s="5">
        <f t="shared" si="10"/>
        <v>136851161.33000001</v>
      </c>
      <c r="I231" s="5">
        <f t="shared" si="11"/>
        <v>6948838.6699999869</v>
      </c>
      <c r="J231" s="5">
        <v>3000000</v>
      </c>
      <c r="K231" s="5">
        <v>14080000</v>
      </c>
      <c r="L231" s="5">
        <v>14380000</v>
      </c>
      <c r="M231" s="7">
        <v>4365.7</v>
      </c>
      <c r="N231" s="5">
        <v>141300000</v>
      </c>
      <c r="O231" s="5">
        <v>144300000</v>
      </c>
      <c r="P231" s="3">
        <v>0.97916666666666663</v>
      </c>
    </row>
    <row r="232" spans="1:16" x14ac:dyDescent="0.25">
      <c r="A232" t="s">
        <v>157</v>
      </c>
      <c r="B232" s="2">
        <v>46253</v>
      </c>
      <c r="C232" t="str">
        <f t="shared" si="9"/>
        <v>08</v>
      </c>
      <c r="D232" t="s">
        <v>22</v>
      </c>
      <c r="E232" t="s">
        <v>159</v>
      </c>
      <c r="F232" s="5">
        <v>139200000</v>
      </c>
      <c r="G232" s="5">
        <v>142200000</v>
      </c>
      <c r="H232" s="5">
        <f t="shared" si="10"/>
        <v>140863564.53</v>
      </c>
      <c r="I232" s="5">
        <f t="shared" si="11"/>
        <v>1336435.4699999988</v>
      </c>
      <c r="J232" s="5">
        <v>3000000</v>
      </c>
      <c r="K232" s="5">
        <v>13920000</v>
      </c>
      <c r="L232" s="5">
        <v>14220000</v>
      </c>
      <c r="M232" s="7">
        <v>4493.7</v>
      </c>
      <c r="N232" s="5">
        <v>139700000</v>
      </c>
      <c r="O232" s="5">
        <v>142700000</v>
      </c>
      <c r="P232" s="3">
        <v>0.97916666666666663</v>
      </c>
    </row>
    <row r="233" spans="1:16" x14ac:dyDescent="0.25">
      <c r="A233" t="s">
        <v>158</v>
      </c>
      <c r="B233" s="2">
        <v>46254</v>
      </c>
      <c r="C233" t="str">
        <f t="shared" si="9"/>
        <v>08</v>
      </c>
      <c r="D233" t="s">
        <v>16</v>
      </c>
      <c r="E233" t="s">
        <v>159</v>
      </c>
      <c r="F233" s="5">
        <v>142500000</v>
      </c>
      <c r="G233" s="5">
        <v>145500000</v>
      </c>
      <c r="H233" s="5">
        <f t="shared" si="10"/>
        <v>142123709.91</v>
      </c>
      <c r="I233" s="5">
        <f t="shared" si="11"/>
        <v>3376290.0900000036</v>
      </c>
      <c r="J233" s="5">
        <v>3000000</v>
      </c>
      <c r="K233" s="5">
        <v>14250000</v>
      </c>
      <c r="L233" s="5">
        <v>14550000</v>
      </c>
      <c r="M233" s="7">
        <v>4533.8999999999996</v>
      </c>
      <c r="N233" s="5">
        <v>143000000</v>
      </c>
      <c r="O233" s="5">
        <v>146000000</v>
      </c>
      <c r="P233" s="3">
        <v>0.9375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DB96-CD1B-4E21-A922-C9EF529A6A2F}">
  <dimension ref="A1:L233"/>
  <sheetViews>
    <sheetView tabSelected="1" workbookViewId="0"/>
  </sheetViews>
  <sheetFormatPr defaultRowHeight="13.8" x14ac:dyDescent="0.25"/>
  <cols>
    <col min="5" max="6" width="11.109375" style="5" bestFit="1" customWidth="1"/>
    <col min="7" max="7" width="9.109375" style="5" bestFit="1" customWidth="1"/>
    <col min="8" max="9" width="10.109375" style="5" bestFit="1" customWidth="1"/>
    <col min="10" max="11" width="11.109375" style="5" bestFit="1" customWidth="1"/>
  </cols>
  <sheetData>
    <row r="1" spans="1:12" x14ac:dyDescent="0.25">
      <c r="A1" s="11" t="s">
        <v>160</v>
      </c>
      <c r="B1" s="11" t="s">
        <v>161</v>
      </c>
      <c r="C1" s="11" t="s">
        <v>162</v>
      </c>
      <c r="D1" s="11" t="s">
        <v>163</v>
      </c>
      <c r="E1" s="12" t="s">
        <v>164</v>
      </c>
      <c r="F1" s="12" t="s">
        <v>165</v>
      </c>
      <c r="G1" s="12" t="s">
        <v>166</v>
      </c>
      <c r="H1" s="12" t="s">
        <v>167</v>
      </c>
      <c r="I1" s="12" t="s">
        <v>168</v>
      </c>
      <c r="J1" s="12" t="s">
        <v>169</v>
      </c>
      <c r="K1" s="12" t="s">
        <v>170</v>
      </c>
      <c r="L1" s="11" t="s">
        <v>171</v>
      </c>
    </row>
    <row r="2" spans="1:12" x14ac:dyDescent="0.25">
      <c r="A2" s="2">
        <v>46023</v>
      </c>
      <c r="B2" s="2">
        <v>46023</v>
      </c>
      <c r="C2" t="s">
        <v>16</v>
      </c>
      <c r="D2" t="s">
        <v>159</v>
      </c>
      <c r="E2" s="5">
        <v>145900000</v>
      </c>
      <c r="F2" s="5">
        <v>148900000</v>
      </c>
      <c r="G2" s="5">
        <v>3000000</v>
      </c>
      <c r="H2" s="5">
        <v>14590000</v>
      </c>
      <c r="I2" s="5">
        <v>14890000</v>
      </c>
      <c r="J2" s="5">
        <v>150800000</v>
      </c>
      <c r="K2" s="5">
        <v>152800000</v>
      </c>
      <c r="L2" s="3">
        <v>0.35416666666666669</v>
      </c>
    </row>
    <row r="3" spans="1:12" x14ac:dyDescent="0.25">
      <c r="A3" s="2">
        <v>46054</v>
      </c>
      <c r="B3" s="2">
        <v>46024</v>
      </c>
      <c r="C3" t="s">
        <v>17</v>
      </c>
      <c r="D3" t="s">
        <v>159</v>
      </c>
      <c r="E3" s="5">
        <v>145900000</v>
      </c>
      <c r="F3" s="5">
        <v>148900000</v>
      </c>
      <c r="G3" s="5">
        <v>3000000</v>
      </c>
      <c r="H3" s="5">
        <v>14590000</v>
      </c>
      <c r="I3" s="5">
        <v>14890000</v>
      </c>
      <c r="J3" s="5">
        <v>150800000</v>
      </c>
      <c r="K3" s="5">
        <v>152800000</v>
      </c>
      <c r="L3" s="3">
        <v>0.97916666666666663</v>
      </c>
    </row>
    <row r="4" spans="1:12" x14ac:dyDescent="0.25">
      <c r="A4" s="2">
        <v>46082</v>
      </c>
      <c r="B4" s="2">
        <v>46025</v>
      </c>
      <c r="C4" t="s">
        <v>18</v>
      </c>
      <c r="D4" t="s">
        <v>159</v>
      </c>
      <c r="E4" s="5">
        <v>145900000</v>
      </c>
      <c r="F4" s="5">
        <v>148900000</v>
      </c>
      <c r="G4" s="5">
        <v>3000000</v>
      </c>
      <c r="H4" s="5">
        <v>14590000</v>
      </c>
      <c r="I4" s="5">
        <v>14890000</v>
      </c>
      <c r="J4" s="5">
        <v>150800000</v>
      </c>
      <c r="K4" s="5">
        <v>152800000</v>
      </c>
      <c r="L4" s="3">
        <v>0.35416666666666669</v>
      </c>
    </row>
    <row r="5" spans="1:12" x14ac:dyDescent="0.25">
      <c r="A5" s="2">
        <v>46113</v>
      </c>
      <c r="B5" s="2">
        <v>46026</v>
      </c>
      <c r="C5" t="s">
        <v>19</v>
      </c>
      <c r="D5" t="s">
        <v>159</v>
      </c>
      <c r="E5" s="5">
        <v>145900000</v>
      </c>
      <c r="F5" s="5">
        <v>148900000</v>
      </c>
      <c r="G5" s="5">
        <v>3000000</v>
      </c>
      <c r="H5" s="5">
        <v>14590000</v>
      </c>
      <c r="I5" s="5">
        <v>14890000</v>
      </c>
      <c r="J5" s="5">
        <v>150800000</v>
      </c>
      <c r="K5" s="5">
        <v>152800000</v>
      </c>
      <c r="L5" s="3">
        <v>0</v>
      </c>
    </row>
    <row r="6" spans="1:12" x14ac:dyDescent="0.25">
      <c r="A6" s="2">
        <v>46143</v>
      </c>
      <c r="B6" s="2">
        <v>46027</v>
      </c>
      <c r="C6" t="s">
        <v>20</v>
      </c>
      <c r="D6" t="s">
        <v>159</v>
      </c>
      <c r="E6" s="5">
        <v>149900000</v>
      </c>
      <c r="F6" s="5">
        <v>152900000</v>
      </c>
      <c r="G6" s="5">
        <v>3000000</v>
      </c>
      <c r="H6" s="5">
        <v>14990000</v>
      </c>
      <c r="I6" s="5">
        <v>15290000</v>
      </c>
      <c r="J6" s="5">
        <v>155100000</v>
      </c>
      <c r="K6" s="5">
        <v>157100000</v>
      </c>
      <c r="L6" s="3">
        <v>0.97916666666666663</v>
      </c>
    </row>
    <row r="7" spans="1:12" x14ac:dyDescent="0.25">
      <c r="A7" s="2">
        <v>46174</v>
      </c>
      <c r="B7" s="2">
        <v>46028</v>
      </c>
      <c r="C7" t="s">
        <v>21</v>
      </c>
      <c r="D7" t="s">
        <v>159</v>
      </c>
      <c r="E7" s="5">
        <v>151000000</v>
      </c>
      <c r="F7" s="5">
        <v>154000000</v>
      </c>
      <c r="G7" s="5">
        <v>3000000</v>
      </c>
      <c r="H7" s="5">
        <v>15100000</v>
      </c>
      <c r="I7" s="5">
        <v>15400000</v>
      </c>
      <c r="J7" s="5">
        <v>156000000</v>
      </c>
      <c r="K7" s="5">
        <v>158000000</v>
      </c>
      <c r="L7" s="3">
        <v>0.97916666666666663</v>
      </c>
    </row>
    <row r="8" spans="1:12" x14ac:dyDescent="0.25">
      <c r="A8" s="2">
        <v>46204</v>
      </c>
      <c r="B8" s="2">
        <v>46029</v>
      </c>
      <c r="C8" t="s">
        <v>22</v>
      </c>
      <c r="D8" t="s">
        <v>159</v>
      </c>
      <c r="E8" s="5">
        <v>152100000</v>
      </c>
      <c r="F8" s="5">
        <v>154600000</v>
      </c>
      <c r="G8" s="5">
        <v>2500000</v>
      </c>
      <c r="H8" s="5">
        <v>15210000</v>
      </c>
      <c r="I8" s="5">
        <v>15460000</v>
      </c>
      <c r="J8" s="5">
        <v>156100000</v>
      </c>
      <c r="K8" s="5">
        <v>158100000</v>
      </c>
      <c r="L8" s="3">
        <v>0.97916666666666663</v>
      </c>
    </row>
    <row r="9" spans="1:12" x14ac:dyDescent="0.25">
      <c r="A9" s="2">
        <v>46235</v>
      </c>
      <c r="B9" s="2">
        <v>46030</v>
      </c>
      <c r="C9" t="s">
        <v>16</v>
      </c>
      <c r="D9" t="s">
        <v>159</v>
      </c>
      <c r="E9" s="5">
        <v>151900000</v>
      </c>
      <c r="F9" s="5">
        <v>154400000</v>
      </c>
      <c r="G9" s="5">
        <v>2500000</v>
      </c>
      <c r="H9" s="5">
        <v>15190000</v>
      </c>
      <c r="I9" s="5">
        <v>15440000</v>
      </c>
      <c r="J9" s="5">
        <v>155200000</v>
      </c>
      <c r="K9" s="5">
        <v>157200000</v>
      </c>
      <c r="L9" s="3">
        <v>0.97916666666666663</v>
      </c>
    </row>
    <row r="10" spans="1:12" x14ac:dyDescent="0.25">
      <c r="A10" s="2">
        <v>46266</v>
      </c>
      <c r="B10" s="2">
        <v>46031</v>
      </c>
      <c r="C10" t="s">
        <v>17</v>
      </c>
      <c r="D10" t="s">
        <v>159</v>
      </c>
      <c r="E10" s="5">
        <v>152800000</v>
      </c>
      <c r="F10" s="5">
        <v>155300000</v>
      </c>
      <c r="G10" s="5">
        <v>2500000</v>
      </c>
      <c r="H10" s="5">
        <v>15280000</v>
      </c>
      <c r="I10" s="5">
        <v>15530000</v>
      </c>
      <c r="J10" s="5">
        <v>156300000</v>
      </c>
      <c r="K10" s="5">
        <v>158300000</v>
      </c>
      <c r="L10" s="3">
        <v>0.97916666666666663</v>
      </c>
    </row>
    <row r="11" spans="1:12" x14ac:dyDescent="0.25">
      <c r="A11" s="2">
        <v>46296</v>
      </c>
      <c r="B11" s="2">
        <v>46032</v>
      </c>
      <c r="C11" t="s">
        <v>18</v>
      </c>
      <c r="D11" t="s">
        <v>159</v>
      </c>
      <c r="E11" s="5">
        <v>154300000</v>
      </c>
      <c r="F11" s="5">
        <v>156800000</v>
      </c>
      <c r="G11" s="5">
        <v>2500000</v>
      </c>
      <c r="H11" s="5">
        <v>15430000</v>
      </c>
      <c r="I11" s="5">
        <v>15680000</v>
      </c>
      <c r="J11" s="5">
        <v>157800000</v>
      </c>
      <c r="K11" s="5">
        <v>159800000</v>
      </c>
      <c r="L11" s="3">
        <v>0.60416666666666663</v>
      </c>
    </row>
    <row r="12" spans="1:12" x14ac:dyDescent="0.25">
      <c r="A12" s="2">
        <v>46327</v>
      </c>
      <c r="B12" s="2">
        <v>46033</v>
      </c>
      <c r="C12" t="s">
        <v>19</v>
      </c>
      <c r="D12" t="s">
        <v>159</v>
      </c>
      <c r="E12" s="5">
        <v>154300000</v>
      </c>
      <c r="F12" s="5">
        <v>156800000</v>
      </c>
      <c r="G12" s="5">
        <v>2500000</v>
      </c>
      <c r="H12" s="5">
        <v>15430000</v>
      </c>
      <c r="I12" s="5">
        <v>15680000</v>
      </c>
      <c r="J12" s="5">
        <v>157800000</v>
      </c>
      <c r="K12" s="5">
        <v>159800000</v>
      </c>
      <c r="L12" s="3">
        <v>0</v>
      </c>
    </row>
    <row r="13" spans="1:12" x14ac:dyDescent="0.25">
      <c r="A13" s="2">
        <v>46357</v>
      </c>
      <c r="B13" s="2">
        <v>46034</v>
      </c>
      <c r="C13" t="s">
        <v>20</v>
      </c>
      <c r="D13" t="s">
        <v>159</v>
      </c>
      <c r="E13" s="5">
        <v>156500000</v>
      </c>
      <c r="F13" s="5">
        <v>159000000</v>
      </c>
      <c r="G13" s="5">
        <v>2500000</v>
      </c>
      <c r="H13" s="5">
        <v>15650000</v>
      </c>
      <c r="I13" s="5">
        <v>15900000</v>
      </c>
      <c r="J13" s="5">
        <v>160000000</v>
      </c>
      <c r="K13" s="5">
        <v>162000000</v>
      </c>
      <c r="L13" s="3">
        <v>0.95833333333333337</v>
      </c>
    </row>
    <row r="14" spans="1:12" x14ac:dyDescent="0.25">
      <c r="A14" t="s">
        <v>23</v>
      </c>
      <c r="B14" s="2">
        <v>46035</v>
      </c>
      <c r="C14" t="s">
        <v>21</v>
      </c>
      <c r="D14" t="s">
        <v>159</v>
      </c>
      <c r="E14" s="5">
        <v>156500000</v>
      </c>
      <c r="F14" s="5">
        <v>159000000</v>
      </c>
      <c r="G14" s="5">
        <v>2500000</v>
      </c>
      <c r="H14" s="5">
        <v>15650000</v>
      </c>
      <c r="I14" s="5">
        <v>15900000</v>
      </c>
      <c r="J14" s="5">
        <v>160000000</v>
      </c>
      <c r="K14" s="5">
        <v>162000000</v>
      </c>
      <c r="L14" s="3">
        <v>0.97916666666666663</v>
      </c>
    </row>
    <row r="15" spans="1:12" x14ac:dyDescent="0.25">
      <c r="A15" t="s">
        <v>24</v>
      </c>
      <c r="B15" s="2">
        <v>46036</v>
      </c>
      <c r="C15" t="s">
        <v>22</v>
      </c>
      <c r="D15" t="s">
        <v>159</v>
      </c>
      <c r="E15" s="5">
        <v>157900000</v>
      </c>
      <c r="F15" s="5">
        <v>160400000</v>
      </c>
      <c r="G15" s="5">
        <v>2500000</v>
      </c>
      <c r="H15" s="5">
        <v>15790000</v>
      </c>
      <c r="I15" s="5">
        <v>16040000</v>
      </c>
      <c r="J15" s="5">
        <v>161500000</v>
      </c>
      <c r="K15" s="5">
        <v>163500000</v>
      </c>
      <c r="L15" s="3">
        <v>0.97916666666666663</v>
      </c>
    </row>
    <row r="16" spans="1:12" x14ac:dyDescent="0.25">
      <c r="A16" t="s">
        <v>25</v>
      </c>
      <c r="B16" s="2">
        <v>46037</v>
      </c>
      <c r="C16" t="s">
        <v>16</v>
      </c>
      <c r="D16" t="s">
        <v>159</v>
      </c>
      <c r="E16" s="5">
        <v>157200000</v>
      </c>
      <c r="F16" s="5">
        <v>159700000</v>
      </c>
      <c r="G16" s="5">
        <v>2500000</v>
      </c>
      <c r="H16" s="5">
        <v>15720000</v>
      </c>
      <c r="I16" s="5">
        <v>15970000</v>
      </c>
      <c r="J16" s="5">
        <v>160800000</v>
      </c>
      <c r="K16" s="5">
        <v>162800000</v>
      </c>
      <c r="L16" s="3">
        <v>0.97916666666666663</v>
      </c>
    </row>
    <row r="17" spans="1:12" x14ac:dyDescent="0.25">
      <c r="A17" t="s">
        <v>26</v>
      </c>
      <c r="B17" s="2">
        <v>46038</v>
      </c>
      <c r="C17" t="s">
        <v>17</v>
      </c>
      <c r="D17" t="s">
        <v>159</v>
      </c>
      <c r="E17" s="5">
        <v>157200000</v>
      </c>
      <c r="F17" s="5">
        <v>159700000</v>
      </c>
      <c r="G17" s="5">
        <v>2500000</v>
      </c>
      <c r="H17" s="5">
        <v>15720000</v>
      </c>
      <c r="I17" s="5">
        <v>15970000</v>
      </c>
      <c r="J17" s="5">
        <v>160800000</v>
      </c>
      <c r="K17" s="5">
        <v>162800000</v>
      </c>
      <c r="L17" s="3">
        <v>0.97916666666666663</v>
      </c>
    </row>
    <row r="18" spans="1:12" x14ac:dyDescent="0.25">
      <c r="A18" t="s">
        <v>27</v>
      </c>
      <c r="B18" s="2">
        <v>46039</v>
      </c>
      <c r="C18" t="s">
        <v>18</v>
      </c>
      <c r="D18" t="s">
        <v>159</v>
      </c>
      <c r="E18" s="5">
        <v>157200000</v>
      </c>
      <c r="F18" s="5">
        <v>159700000</v>
      </c>
      <c r="G18" s="5">
        <v>2500000</v>
      </c>
      <c r="H18" s="5">
        <v>15720000</v>
      </c>
      <c r="I18" s="5">
        <v>15970000</v>
      </c>
      <c r="J18" s="5">
        <v>160800000</v>
      </c>
      <c r="K18" s="5">
        <v>162800000</v>
      </c>
      <c r="L18" s="3">
        <v>0.22916666666666666</v>
      </c>
    </row>
    <row r="19" spans="1:12" x14ac:dyDescent="0.25">
      <c r="A19" t="s">
        <v>28</v>
      </c>
      <c r="B19" s="2">
        <v>46040</v>
      </c>
      <c r="C19" t="s">
        <v>19</v>
      </c>
      <c r="D19" t="s">
        <v>159</v>
      </c>
      <c r="E19" s="5">
        <v>157200000</v>
      </c>
      <c r="F19" s="5">
        <v>159700000</v>
      </c>
      <c r="G19" s="5">
        <v>2500000</v>
      </c>
      <c r="H19" s="5">
        <v>15720000</v>
      </c>
      <c r="I19" s="5">
        <v>15970000</v>
      </c>
      <c r="J19" s="5">
        <v>160800000</v>
      </c>
      <c r="K19" s="5">
        <v>162800000</v>
      </c>
      <c r="L19" s="3">
        <v>0</v>
      </c>
    </row>
    <row r="20" spans="1:12" x14ac:dyDescent="0.25">
      <c r="A20" t="s">
        <v>29</v>
      </c>
      <c r="B20" s="2">
        <v>46041</v>
      </c>
      <c r="C20" t="s">
        <v>20</v>
      </c>
      <c r="D20" t="s">
        <v>159</v>
      </c>
      <c r="E20" s="5">
        <v>159700000</v>
      </c>
      <c r="F20" s="5">
        <v>162200000</v>
      </c>
      <c r="G20" s="5">
        <v>2500000</v>
      </c>
      <c r="H20" s="5">
        <v>15970000</v>
      </c>
      <c r="I20" s="5">
        <v>16220000</v>
      </c>
      <c r="J20" s="5">
        <v>163000000</v>
      </c>
      <c r="K20" s="5">
        <v>165000000</v>
      </c>
      <c r="L20" s="3">
        <v>0.97916666666666663</v>
      </c>
    </row>
    <row r="21" spans="1:12" x14ac:dyDescent="0.25">
      <c r="A21" t="s">
        <v>30</v>
      </c>
      <c r="B21" s="2">
        <v>46042</v>
      </c>
      <c r="C21" t="s">
        <v>21</v>
      </c>
      <c r="D21" t="s">
        <v>159</v>
      </c>
      <c r="E21" s="5">
        <v>161000000</v>
      </c>
      <c r="F21" s="5">
        <v>163500000</v>
      </c>
      <c r="G21" s="5">
        <v>2500000</v>
      </c>
      <c r="H21" s="5">
        <v>16100000</v>
      </c>
      <c r="I21" s="5">
        <v>16350000</v>
      </c>
      <c r="J21" s="5">
        <v>164100000</v>
      </c>
      <c r="K21" s="5">
        <v>166100000</v>
      </c>
      <c r="L21" s="3">
        <v>0.97916666666666663</v>
      </c>
    </row>
    <row r="22" spans="1:12" x14ac:dyDescent="0.25">
      <c r="A22" t="s">
        <v>31</v>
      </c>
      <c r="B22" s="2">
        <v>46043</v>
      </c>
      <c r="C22" t="s">
        <v>22</v>
      </c>
      <c r="D22" t="s">
        <v>159</v>
      </c>
      <c r="E22" s="5">
        <v>165900000</v>
      </c>
      <c r="F22" s="5">
        <v>168400000</v>
      </c>
      <c r="G22" s="5">
        <v>2500000</v>
      </c>
      <c r="H22" s="5">
        <v>16590000</v>
      </c>
      <c r="I22" s="5">
        <v>16840000</v>
      </c>
      <c r="J22" s="5">
        <v>168500000</v>
      </c>
      <c r="K22" s="5">
        <v>170500000</v>
      </c>
      <c r="L22" s="3">
        <v>0.97916666666666663</v>
      </c>
    </row>
    <row r="23" spans="1:12" x14ac:dyDescent="0.25">
      <c r="A23" t="s">
        <v>32</v>
      </c>
      <c r="B23" s="2">
        <v>46044</v>
      </c>
      <c r="C23" t="s">
        <v>16</v>
      </c>
      <c r="D23" t="s">
        <v>159</v>
      </c>
      <c r="E23" s="5">
        <v>165200000</v>
      </c>
      <c r="F23" s="5">
        <v>167700000</v>
      </c>
      <c r="G23" s="5">
        <v>2500000</v>
      </c>
      <c r="H23" s="5">
        <v>16520000</v>
      </c>
      <c r="I23" s="5">
        <v>16770000</v>
      </c>
      <c r="J23" s="5">
        <v>167300000</v>
      </c>
      <c r="K23" s="5">
        <v>169300000</v>
      </c>
      <c r="L23" s="3">
        <v>0.97916666666666663</v>
      </c>
    </row>
    <row r="24" spans="1:12" x14ac:dyDescent="0.25">
      <c r="A24" t="s">
        <v>33</v>
      </c>
      <c r="B24" s="2">
        <v>46045</v>
      </c>
      <c r="C24" t="s">
        <v>17</v>
      </c>
      <c r="D24" t="s">
        <v>159</v>
      </c>
      <c r="E24" s="5">
        <v>168300000</v>
      </c>
      <c r="F24" s="5">
        <v>170800000</v>
      </c>
      <c r="G24" s="5">
        <v>2500000</v>
      </c>
      <c r="H24" s="5">
        <v>16830000</v>
      </c>
      <c r="I24" s="5">
        <v>17080000</v>
      </c>
      <c r="J24" s="5">
        <v>170200000</v>
      </c>
      <c r="K24" s="5">
        <v>172200000</v>
      </c>
      <c r="L24" s="3">
        <v>0.97916666666666663</v>
      </c>
    </row>
    <row r="25" spans="1:12" x14ac:dyDescent="0.25">
      <c r="A25" t="s">
        <v>34</v>
      </c>
      <c r="B25" s="2">
        <v>46046</v>
      </c>
      <c r="C25" t="s">
        <v>18</v>
      </c>
      <c r="D25" t="s">
        <v>159</v>
      </c>
      <c r="E25" s="5">
        <v>170500000</v>
      </c>
      <c r="F25" s="5">
        <v>173000000</v>
      </c>
      <c r="G25" s="5">
        <v>2500000</v>
      </c>
      <c r="H25" s="5">
        <v>17050000</v>
      </c>
      <c r="I25" s="5">
        <v>17300000</v>
      </c>
      <c r="J25" s="5">
        <v>172300000</v>
      </c>
      <c r="K25" s="5">
        <v>174300000</v>
      </c>
      <c r="L25" s="3">
        <v>0.39583333333333331</v>
      </c>
    </row>
    <row r="26" spans="1:12" x14ac:dyDescent="0.25">
      <c r="A26" t="s">
        <v>35</v>
      </c>
      <c r="B26" s="2">
        <v>46047</v>
      </c>
      <c r="C26" t="s">
        <v>19</v>
      </c>
      <c r="D26" t="s">
        <v>159</v>
      </c>
      <c r="E26" s="5">
        <v>170500000</v>
      </c>
      <c r="F26" s="5">
        <v>173000000</v>
      </c>
      <c r="G26" s="5">
        <v>2500000</v>
      </c>
      <c r="H26" s="5">
        <v>17050000</v>
      </c>
      <c r="I26" s="5">
        <v>17300000</v>
      </c>
      <c r="J26" s="5">
        <v>172300000</v>
      </c>
      <c r="K26" s="5">
        <v>174300000</v>
      </c>
      <c r="L26" s="3">
        <v>0</v>
      </c>
    </row>
    <row r="27" spans="1:12" x14ac:dyDescent="0.25">
      <c r="A27" t="s">
        <v>36</v>
      </c>
      <c r="B27" s="2">
        <v>46048</v>
      </c>
      <c r="C27" t="s">
        <v>20</v>
      </c>
      <c r="D27" t="s">
        <v>159</v>
      </c>
      <c r="E27" s="5">
        <v>173500000</v>
      </c>
      <c r="F27" s="5">
        <v>176000000</v>
      </c>
      <c r="G27" s="5">
        <v>2500000</v>
      </c>
      <c r="H27" s="5">
        <v>17350000</v>
      </c>
      <c r="I27" s="5">
        <v>17600000</v>
      </c>
      <c r="J27" s="5">
        <v>175000000</v>
      </c>
      <c r="K27" s="5">
        <v>177000000</v>
      </c>
      <c r="L27" s="3">
        <v>0.97916666666666663</v>
      </c>
    </row>
    <row r="28" spans="1:12" x14ac:dyDescent="0.25">
      <c r="A28" t="s">
        <v>37</v>
      </c>
      <c r="B28" s="2">
        <v>46049</v>
      </c>
      <c r="C28" t="s">
        <v>21</v>
      </c>
      <c r="D28" t="s">
        <v>159</v>
      </c>
      <c r="E28" s="5">
        <v>174100000</v>
      </c>
      <c r="F28" s="5">
        <v>176600000</v>
      </c>
      <c r="G28" s="5">
        <v>2500000</v>
      </c>
      <c r="H28" s="5">
        <v>17410000</v>
      </c>
      <c r="I28" s="5">
        <v>17660000</v>
      </c>
      <c r="J28" s="5">
        <v>175300000</v>
      </c>
      <c r="K28" s="5">
        <v>177300000</v>
      </c>
      <c r="L28" s="3">
        <v>0.97916666666666663</v>
      </c>
    </row>
    <row r="29" spans="1:12" x14ac:dyDescent="0.25">
      <c r="A29" t="s">
        <v>38</v>
      </c>
      <c r="B29" s="2">
        <v>46050</v>
      </c>
      <c r="C29" t="s">
        <v>22</v>
      </c>
      <c r="D29" t="s">
        <v>159</v>
      </c>
      <c r="E29" s="5">
        <v>180700000</v>
      </c>
      <c r="F29" s="5">
        <v>183700000</v>
      </c>
      <c r="G29" s="5">
        <v>3000000</v>
      </c>
      <c r="H29" s="5">
        <v>18070000</v>
      </c>
      <c r="I29" s="5">
        <v>18370000</v>
      </c>
      <c r="J29" s="5">
        <v>181700000</v>
      </c>
      <c r="K29" s="5">
        <v>184200000</v>
      </c>
      <c r="L29" s="3">
        <v>0.97916666666666663</v>
      </c>
    </row>
    <row r="30" spans="1:12" x14ac:dyDescent="0.25">
      <c r="A30" t="s">
        <v>39</v>
      </c>
      <c r="B30" s="2">
        <v>46051</v>
      </c>
      <c r="C30" t="s">
        <v>16</v>
      </c>
      <c r="D30" t="s">
        <v>159</v>
      </c>
      <c r="E30" s="5">
        <v>186300000</v>
      </c>
      <c r="F30" s="5">
        <v>189300000</v>
      </c>
      <c r="G30" s="5">
        <v>3000000</v>
      </c>
      <c r="H30" s="5">
        <v>18630000</v>
      </c>
      <c r="I30" s="5">
        <v>18930000</v>
      </c>
      <c r="J30" s="5">
        <v>186600000</v>
      </c>
      <c r="K30" s="5">
        <v>189600000</v>
      </c>
      <c r="L30" s="3">
        <v>0.97916666666666663</v>
      </c>
    </row>
    <row r="31" spans="1:12" x14ac:dyDescent="0.25">
      <c r="A31" t="s">
        <v>40</v>
      </c>
      <c r="B31" s="2">
        <v>46052</v>
      </c>
      <c r="C31" t="s">
        <v>17</v>
      </c>
      <c r="D31" t="s">
        <v>159</v>
      </c>
      <c r="E31" s="5">
        <v>177000000</v>
      </c>
      <c r="F31" s="5">
        <v>180000000</v>
      </c>
      <c r="G31" s="5">
        <v>3000000</v>
      </c>
      <c r="H31" s="5">
        <v>17700000</v>
      </c>
      <c r="I31" s="5">
        <v>18000000</v>
      </c>
      <c r="J31" s="5">
        <v>178000000</v>
      </c>
      <c r="K31" s="5">
        <v>181000000</v>
      </c>
      <c r="L31" s="3">
        <v>0.97916666666666663</v>
      </c>
    </row>
    <row r="32" spans="1:12" x14ac:dyDescent="0.25">
      <c r="A32" t="s">
        <v>41</v>
      </c>
      <c r="B32" s="2">
        <v>46053</v>
      </c>
      <c r="C32" t="s">
        <v>18</v>
      </c>
      <c r="D32" t="s">
        <v>159</v>
      </c>
      <c r="E32" s="5">
        <v>168000000</v>
      </c>
      <c r="F32" s="5">
        <v>171000000</v>
      </c>
      <c r="G32" s="5">
        <v>3000000</v>
      </c>
      <c r="H32" s="5">
        <v>16800000</v>
      </c>
      <c r="I32" s="5">
        <v>17100000</v>
      </c>
      <c r="J32" s="5">
        <v>169000000</v>
      </c>
      <c r="K32" s="5">
        <v>172000000</v>
      </c>
      <c r="L32" s="3">
        <v>0.39583333333333331</v>
      </c>
    </row>
    <row r="33" spans="1:12" x14ac:dyDescent="0.25">
      <c r="A33" s="2">
        <v>46024</v>
      </c>
      <c r="B33" s="2">
        <v>46054</v>
      </c>
      <c r="C33" t="s">
        <v>19</v>
      </c>
      <c r="D33" t="s">
        <v>159</v>
      </c>
      <c r="E33" s="5">
        <v>168000000</v>
      </c>
      <c r="F33" s="5">
        <v>171000000</v>
      </c>
      <c r="G33" s="5">
        <v>3000000</v>
      </c>
      <c r="H33" s="5">
        <v>16800000</v>
      </c>
      <c r="I33" s="5">
        <v>17100000</v>
      </c>
      <c r="J33" s="5">
        <v>169000000</v>
      </c>
      <c r="K33" s="5">
        <v>172000000</v>
      </c>
      <c r="L33" s="3">
        <v>0.375</v>
      </c>
    </row>
    <row r="34" spans="1:12" x14ac:dyDescent="0.25">
      <c r="A34" s="2">
        <v>46055</v>
      </c>
      <c r="B34" s="2">
        <v>46055</v>
      </c>
      <c r="C34" t="s">
        <v>20</v>
      </c>
      <c r="D34" t="s">
        <v>159</v>
      </c>
      <c r="E34" s="5">
        <v>162500000</v>
      </c>
      <c r="F34" s="5">
        <v>165500000</v>
      </c>
      <c r="G34" s="5">
        <v>3000000</v>
      </c>
      <c r="H34" s="5">
        <v>16250000</v>
      </c>
      <c r="I34" s="5">
        <v>16550000</v>
      </c>
      <c r="J34" s="5">
        <v>163000000</v>
      </c>
      <c r="K34" s="5">
        <v>166000000</v>
      </c>
      <c r="L34" s="3">
        <v>0.97916666666666663</v>
      </c>
    </row>
    <row r="35" spans="1:12" x14ac:dyDescent="0.25">
      <c r="A35" s="2">
        <v>46083</v>
      </c>
      <c r="B35" s="2">
        <v>46056</v>
      </c>
      <c r="C35" t="s">
        <v>21</v>
      </c>
      <c r="D35" t="s">
        <v>159</v>
      </c>
      <c r="E35" s="5">
        <v>171500000</v>
      </c>
      <c r="F35" s="5">
        <v>174500000</v>
      </c>
      <c r="G35" s="5">
        <v>3000000</v>
      </c>
      <c r="H35" s="5">
        <v>17150000</v>
      </c>
      <c r="I35" s="5">
        <v>17450000</v>
      </c>
      <c r="J35" s="5">
        <v>173500000</v>
      </c>
      <c r="K35" s="5">
        <v>176500000</v>
      </c>
      <c r="L35" s="3">
        <v>0.97916666666666663</v>
      </c>
    </row>
    <row r="36" spans="1:12" x14ac:dyDescent="0.25">
      <c r="A36" s="2">
        <v>46114</v>
      </c>
      <c r="B36" s="2">
        <v>46057</v>
      </c>
      <c r="C36" t="s">
        <v>22</v>
      </c>
      <c r="D36" t="s">
        <v>159</v>
      </c>
      <c r="E36" s="5">
        <v>176700000</v>
      </c>
      <c r="F36" s="5">
        <v>179700000</v>
      </c>
      <c r="G36" s="5">
        <v>3000000</v>
      </c>
      <c r="H36" s="5">
        <v>17670000</v>
      </c>
      <c r="I36" s="5">
        <v>17970000</v>
      </c>
      <c r="J36" s="5">
        <v>177200000</v>
      </c>
      <c r="K36" s="5">
        <v>180200000</v>
      </c>
      <c r="L36" s="3">
        <v>0.97916666666666663</v>
      </c>
    </row>
    <row r="37" spans="1:12" x14ac:dyDescent="0.25">
      <c r="A37" s="2">
        <v>46144</v>
      </c>
      <c r="B37" s="2">
        <v>46058</v>
      </c>
      <c r="C37" t="s">
        <v>16</v>
      </c>
      <c r="D37" t="s">
        <v>159</v>
      </c>
      <c r="E37" s="5">
        <v>171500000</v>
      </c>
      <c r="F37" s="5">
        <v>174500000</v>
      </c>
      <c r="G37" s="5">
        <v>3000000</v>
      </c>
      <c r="H37" s="5">
        <v>17150000</v>
      </c>
      <c r="I37" s="5">
        <v>17450000</v>
      </c>
      <c r="J37" s="5">
        <v>174200000</v>
      </c>
      <c r="K37" s="5">
        <v>177200000</v>
      </c>
      <c r="L37" s="3">
        <v>0.97916666666666663</v>
      </c>
    </row>
    <row r="38" spans="1:12" x14ac:dyDescent="0.25">
      <c r="A38" s="2">
        <v>46175</v>
      </c>
      <c r="B38" s="2">
        <v>46059</v>
      </c>
      <c r="C38" t="s">
        <v>17</v>
      </c>
      <c r="D38" t="s">
        <v>159</v>
      </c>
      <c r="E38" s="5">
        <v>173000000</v>
      </c>
      <c r="F38" s="5">
        <v>176000000</v>
      </c>
      <c r="G38" s="5">
        <v>3000000</v>
      </c>
      <c r="H38" s="5">
        <v>17300000</v>
      </c>
      <c r="I38" s="5">
        <v>17600000</v>
      </c>
      <c r="J38" s="5">
        <v>173500000</v>
      </c>
      <c r="K38" s="5">
        <v>176500000</v>
      </c>
      <c r="L38" s="3">
        <v>0.97916666666666663</v>
      </c>
    </row>
    <row r="39" spans="1:12" x14ac:dyDescent="0.25">
      <c r="A39" s="2">
        <v>46205</v>
      </c>
      <c r="B39" s="2">
        <v>46060</v>
      </c>
      <c r="C39" t="s">
        <v>18</v>
      </c>
      <c r="D39" t="s">
        <v>159</v>
      </c>
      <c r="E39" s="5">
        <v>175800000</v>
      </c>
      <c r="F39" s="5">
        <v>178800000</v>
      </c>
      <c r="G39" s="5">
        <v>3000000</v>
      </c>
      <c r="H39" s="5">
        <v>17580000</v>
      </c>
      <c r="I39" s="5">
        <v>17880000</v>
      </c>
      <c r="J39" s="5">
        <v>176300000</v>
      </c>
      <c r="K39" s="5">
        <v>179300000</v>
      </c>
      <c r="L39" s="3">
        <v>0.39583333333333331</v>
      </c>
    </row>
    <row r="40" spans="1:12" x14ac:dyDescent="0.25">
      <c r="A40" s="2">
        <v>46236</v>
      </c>
      <c r="B40" s="2">
        <v>46061</v>
      </c>
      <c r="C40" t="s">
        <v>19</v>
      </c>
      <c r="D40" t="s">
        <v>159</v>
      </c>
      <c r="E40" s="5">
        <v>175800000</v>
      </c>
      <c r="F40" s="5">
        <v>178800000</v>
      </c>
      <c r="G40" s="5">
        <v>3000000</v>
      </c>
      <c r="H40" s="5">
        <v>17580000</v>
      </c>
      <c r="I40" s="5">
        <v>17880000</v>
      </c>
      <c r="J40" s="5">
        <v>176300000</v>
      </c>
      <c r="K40" s="5">
        <v>179300000</v>
      </c>
      <c r="L40" s="3">
        <v>0</v>
      </c>
    </row>
    <row r="41" spans="1:12" x14ac:dyDescent="0.25">
      <c r="A41" s="2">
        <v>46267</v>
      </c>
      <c r="B41" s="2">
        <v>46062</v>
      </c>
      <c r="C41" t="s">
        <v>20</v>
      </c>
      <c r="D41" t="s">
        <v>159</v>
      </c>
      <c r="E41" s="5">
        <v>176900000</v>
      </c>
      <c r="F41" s="5">
        <v>179900000</v>
      </c>
      <c r="G41" s="5">
        <v>3000000</v>
      </c>
      <c r="H41" s="5">
        <v>17690000</v>
      </c>
      <c r="I41" s="5">
        <v>17990000</v>
      </c>
      <c r="J41" s="5">
        <v>177400000</v>
      </c>
      <c r="K41" s="5">
        <v>180400000</v>
      </c>
      <c r="L41" s="3">
        <v>0.97916666666666663</v>
      </c>
    </row>
    <row r="42" spans="1:12" x14ac:dyDescent="0.25">
      <c r="A42" s="2">
        <v>46297</v>
      </c>
      <c r="B42" s="2">
        <v>46063</v>
      </c>
      <c r="C42" t="s">
        <v>21</v>
      </c>
      <c r="D42" t="s">
        <v>159</v>
      </c>
      <c r="E42" s="5">
        <v>177500000</v>
      </c>
      <c r="F42" s="5">
        <v>180500000</v>
      </c>
      <c r="G42" s="5">
        <v>3000000</v>
      </c>
      <c r="H42" s="5">
        <v>17750000</v>
      </c>
      <c r="I42" s="5">
        <v>18050000</v>
      </c>
      <c r="J42" s="5">
        <v>178000000</v>
      </c>
      <c r="K42" s="5">
        <v>181000000</v>
      </c>
      <c r="L42" s="3">
        <v>0.97916666666666663</v>
      </c>
    </row>
    <row r="43" spans="1:12" x14ac:dyDescent="0.25">
      <c r="A43" s="2">
        <v>46328</v>
      </c>
      <c r="B43" s="2">
        <v>46064</v>
      </c>
      <c r="C43" t="s">
        <v>22</v>
      </c>
      <c r="D43" t="s">
        <v>159</v>
      </c>
      <c r="E43" s="5">
        <v>177500000</v>
      </c>
      <c r="F43" s="5">
        <v>180500000</v>
      </c>
      <c r="G43" s="5">
        <v>3000000</v>
      </c>
      <c r="H43" s="5">
        <v>17750000</v>
      </c>
      <c r="I43" s="5">
        <v>18050000</v>
      </c>
      <c r="J43" s="5">
        <v>178000000</v>
      </c>
      <c r="K43" s="5">
        <v>181000000</v>
      </c>
      <c r="L43" s="3">
        <v>0.97916666666666663</v>
      </c>
    </row>
    <row r="44" spans="1:12" x14ac:dyDescent="0.25">
      <c r="A44" s="2">
        <v>46358</v>
      </c>
      <c r="B44" s="2">
        <v>46065</v>
      </c>
      <c r="C44" t="s">
        <v>16</v>
      </c>
      <c r="D44" t="s">
        <v>159</v>
      </c>
      <c r="E44" s="5">
        <v>177500000</v>
      </c>
      <c r="F44" s="5">
        <v>180500000</v>
      </c>
      <c r="G44" s="5">
        <v>3000000</v>
      </c>
      <c r="H44" s="5">
        <v>17750000</v>
      </c>
      <c r="I44" s="5">
        <v>18050000</v>
      </c>
      <c r="J44" s="5">
        <v>178000000</v>
      </c>
      <c r="K44" s="5">
        <v>181000000</v>
      </c>
      <c r="L44" s="3">
        <v>0.97916666666666663</v>
      </c>
    </row>
    <row r="45" spans="1:12" x14ac:dyDescent="0.25">
      <c r="A45" t="s">
        <v>42</v>
      </c>
      <c r="B45" s="2">
        <v>46066</v>
      </c>
      <c r="C45" t="s">
        <v>17</v>
      </c>
      <c r="D45" t="s">
        <v>159</v>
      </c>
      <c r="E45" s="5">
        <v>175500000</v>
      </c>
      <c r="F45" s="5">
        <v>178500000</v>
      </c>
      <c r="G45" s="5">
        <v>3000000</v>
      </c>
      <c r="H45" s="5">
        <v>17550000</v>
      </c>
      <c r="I45" s="5">
        <v>17850000</v>
      </c>
      <c r="J45" s="5">
        <v>176000000</v>
      </c>
      <c r="K45" s="5">
        <v>179000000</v>
      </c>
      <c r="L45" s="3">
        <v>0.97916666666666663</v>
      </c>
    </row>
    <row r="46" spans="1:12" x14ac:dyDescent="0.25">
      <c r="A46" t="s">
        <v>43</v>
      </c>
      <c r="B46" s="2">
        <v>46067</v>
      </c>
      <c r="C46" t="s">
        <v>18</v>
      </c>
      <c r="D46" t="s">
        <v>159</v>
      </c>
      <c r="E46" s="5">
        <v>177500000</v>
      </c>
      <c r="F46" s="5">
        <v>180500000</v>
      </c>
      <c r="G46" s="5">
        <v>3000000</v>
      </c>
      <c r="H46" s="5">
        <v>17750000</v>
      </c>
      <c r="I46" s="5">
        <v>18050000</v>
      </c>
      <c r="J46" s="5">
        <v>178000000</v>
      </c>
      <c r="K46" s="5">
        <v>181000000</v>
      </c>
      <c r="L46" s="3">
        <v>0.39583333333333331</v>
      </c>
    </row>
    <row r="47" spans="1:12" x14ac:dyDescent="0.25">
      <c r="A47" t="s">
        <v>44</v>
      </c>
      <c r="B47" s="2">
        <v>46068</v>
      </c>
      <c r="C47" t="s">
        <v>19</v>
      </c>
      <c r="D47" t="s">
        <v>159</v>
      </c>
      <c r="E47" s="5">
        <v>177500000</v>
      </c>
      <c r="F47" s="5">
        <v>180500000</v>
      </c>
      <c r="G47" s="5">
        <v>3000000</v>
      </c>
      <c r="H47" s="5">
        <v>17750000</v>
      </c>
      <c r="I47" s="5">
        <v>18050000</v>
      </c>
      <c r="J47" s="5">
        <v>178000000</v>
      </c>
      <c r="K47" s="5">
        <v>181000000</v>
      </c>
      <c r="L47" s="3">
        <v>0</v>
      </c>
    </row>
    <row r="48" spans="1:12" x14ac:dyDescent="0.25">
      <c r="A48" t="s">
        <v>45</v>
      </c>
      <c r="B48" s="2">
        <v>46069</v>
      </c>
      <c r="C48" t="s">
        <v>20</v>
      </c>
      <c r="D48" t="s">
        <v>159</v>
      </c>
      <c r="E48" s="5">
        <v>177500000</v>
      </c>
      <c r="F48" s="5">
        <v>180500000</v>
      </c>
      <c r="G48" s="5">
        <v>3000000</v>
      </c>
      <c r="H48" s="5">
        <v>17750000</v>
      </c>
      <c r="I48" s="5">
        <v>18050000</v>
      </c>
      <c r="J48" s="5">
        <v>178000000</v>
      </c>
      <c r="K48" s="5">
        <v>181000000</v>
      </c>
      <c r="L48" s="3">
        <v>0.97916666666666663</v>
      </c>
    </row>
    <row r="49" spans="1:12" x14ac:dyDescent="0.25">
      <c r="A49" t="s">
        <v>46</v>
      </c>
      <c r="B49" s="2">
        <v>46070</v>
      </c>
      <c r="C49" t="s">
        <v>21</v>
      </c>
      <c r="D49" t="s">
        <v>159</v>
      </c>
      <c r="E49" s="5">
        <v>177500000</v>
      </c>
      <c r="F49" s="5">
        <v>180500000</v>
      </c>
      <c r="G49" s="5">
        <v>3000000</v>
      </c>
      <c r="H49" s="5">
        <v>17750000</v>
      </c>
      <c r="I49" s="5">
        <v>18050000</v>
      </c>
      <c r="J49" s="5">
        <v>178000000</v>
      </c>
      <c r="K49" s="5">
        <v>181000000</v>
      </c>
      <c r="L49" s="3">
        <v>0.97916666666666663</v>
      </c>
    </row>
    <row r="50" spans="1:12" x14ac:dyDescent="0.25">
      <c r="A50" t="s">
        <v>47</v>
      </c>
      <c r="B50" s="2">
        <v>46071</v>
      </c>
      <c r="C50" t="s">
        <v>22</v>
      </c>
      <c r="D50" t="s">
        <v>159</v>
      </c>
      <c r="E50" s="5">
        <v>177500000</v>
      </c>
      <c r="F50" s="5">
        <v>180500000</v>
      </c>
      <c r="G50" s="5">
        <v>3000000</v>
      </c>
      <c r="H50" s="5">
        <v>17750000</v>
      </c>
      <c r="I50" s="5">
        <v>18050000</v>
      </c>
      <c r="J50" s="5">
        <v>178000000</v>
      </c>
      <c r="K50" s="5">
        <v>181000000</v>
      </c>
      <c r="L50" s="3">
        <v>0.97916666666666663</v>
      </c>
    </row>
    <row r="51" spans="1:12" x14ac:dyDescent="0.25">
      <c r="A51" t="s">
        <v>48</v>
      </c>
      <c r="B51" s="2">
        <v>46072</v>
      </c>
      <c r="C51" t="s">
        <v>16</v>
      </c>
      <c r="D51" t="s">
        <v>159</v>
      </c>
      <c r="E51" s="5">
        <v>177500000</v>
      </c>
      <c r="F51" s="5">
        <v>180500000</v>
      </c>
      <c r="G51" s="5">
        <v>3000000</v>
      </c>
      <c r="H51" s="5">
        <v>17750000</v>
      </c>
      <c r="I51" s="5">
        <v>18050000</v>
      </c>
      <c r="J51" s="5">
        <v>178000000</v>
      </c>
      <c r="K51" s="5">
        <v>181000000</v>
      </c>
      <c r="L51" s="3">
        <v>0.97916666666666663</v>
      </c>
    </row>
    <row r="52" spans="1:12" x14ac:dyDescent="0.25">
      <c r="A52" t="s">
        <v>49</v>
      </c>
      <c r="B52" s="2">
        <v>46073</v>
      </c>
      <c r="C52" t="s">
        <v>17</v>
      </c>
      <c r="D52" t="s">
        <v>159</v>
      </c>
      <c r="E52" s="5">
        <v>177500000</v>
      </c>
      <c r="F52" s="5">
        <v>180500000</v>
      </c>
      <c r="G52" s="5">
        <v>3000000</v>
      </c>
      <c r="H52" s="5">
        <v>17750000</v>
      </c>
      <c r="I52" s="5">
        <v>18050000</v>
      </c>
      <c r="J52" s="5">
        <v>178000000</v>
      </c>
      <c r="K52" s="5">
        <v>181000000</v>
      </c>
      <c r="L52" s="3">
        <v>0.97916666666666663</v>
      </c>
    </row>
    <row r="53" spans="1:12" x14ac:dyDescent="0.25">
      <c r="A53" t="s">
        <v>50</v>
      </c>
      <c r="B53" s="2">
        <v>46074</v>
      </c>
      <c r="C53" t="s">
        <v>18</v>
      </c>
      <c r="D53" t="s">
        <v>159</v>
      </c>
      <c r="E53" s="5">
        <v>177500000</v>
      </c>
      <c r="F53" s="5">
        <v>180500000</v>
      </c>
      <c r="G53" s="5">
        <v>3000000</v>
      </c>
      <c r="H53" s="5">
        <v>17750000</v>
      </c>
      <c r="I53" s="5">
        <v>18050000</v>
      </c>
      <c r="J53" s="5">
        <v>178000000</v>
      </c>
      <c r="K53" s="5">
        <v>181000000</v>
      </c>
      <c r="L53" s="3">
        <v>0.22916666666666666</v>
      </c>
    </row>
    <row r="54" spans="1:12" x14ac:dyDescent="0.25">
      <c r="A54" t="s">
        <v>51</v>
      </c>
      <c r="B54" s="2">
        <v>46075</v>
      </c>
      <c r="C54" t="s">
        <v>19</v>
      </c>
      <c r="D54" t="s">
        <v>159</v>
      </c>
      <c r="E54" s="5">
        <v>177500000</v>
      </c>
      <c r="F54" s="5">
        <v>180500000</v>
      </c>
      <c r="G54" s="5">
        <v>3000000</v>
      </c>
      <c r="H54" s="5">
        <v>17750000</v>
      </c>
      <c r="I54" s="5">
        <v>18050000</v>
      </c>
      <c r="J54" s="5">
        <v>178000000</v>
      </c>
      <c r="K54" s="5">
        <v>181000000</v>
      </c>
      <c r="L54" s="3">
        <v>0.41666666666666669</v>
      </c>
    </row>
    <row r="55" spans="1:12" x14ac:dyDescent="0.25">
      <c r="A55" t="s">
        <v>52</v>
      </c>
      <c r="B55" s="2">
        <v>46076</v>
      </c>
      <c r="C55" t="s">
        <v>20</v>
      </c>
      <c r="D55" t="s">
        <v>159</v>
      </c>
      <c r="E55" s="5">
        <v>181100000</v>
      </c>
      <c r="F55" s="5">
        <v>184100000</v>
      </c>
      <c r="G55" s="5">
        <v>3000000</v>
      </c>
      <c r="H55" s="5">
        <v>18110000</v>
      </c>
      <c r="I55" s="5">
        <v>18410000</v>
      </c>
      <c r="J55" s="5">
        <v>181600000</v>
      </c>
      <c r="K55" s="5">
        <v>184600000</v>
      </c>
      <c r="L55" s="3">
        <v>0.97916666666666663</v>
      </c>
    </row>
    <row r="56" spans="1:12" x14ac:dyDescent="0.25">
      <c r="A56" t="s">
        <v>53</v>
      </c>
      <c r="B56" s="2">
        <v>46077</v>
      </c>
      <c r="C56" t="s">
        <v>21</v>
      </c>
      <c r="D56" t="s">
        <v>159</v>
      </c>
      <c r="E56" s="5">
        <v>181100000</v>
      </c>
      <c r="F56" s="5">
        <v>184100000</v>
      </c>
      <c r="G56" s="5">
        <v>3000000</v>
      </c>
      <c r="H56" s="5">
        <v>18110000</v>
      </c>
      <c r="I56" s="5">
        <v>18410000</v>
      </c>
      <c r="J56" s="5">
        <v>181600000</v>
      </c>
      <c r="K56" s="5">
        <v>184600000</v>
      </c>
      <c r="L56" s="3">
        <v>0.97916666666666663</v>
      </c>
    </row>
    <row r="57" spans="1:12" x14ac:dyDescent="0.25">
      <c r="A57" t="s">
        <v>54</v>
      </c>
      <c r="B57" s="2">
        <v>46078</v>
      </c>
      <c r="C57" t="s">
        <v>22</v>
      </c>
      <c r="D57" t="s">
        <v>159</v>
      </c>
      <c r="E57" s="5">
        <v>181800000</v>
      </c>
      <c r="F57" s="5">
        <v>184800000</v>
      </c>
      <c r="G57" s="5">
        <v>3000000</v>
      </c>
      <c r="H57" s="5">
        <v>18180000</v>
      </c>
      <c r="I57" s="5">
        <v>18480000</v>
      </c>
      <c r="J57" s="5">
        <v>182300000</v>
      </c>
      <c r="K57" s="5">
        <v>185300000</v>
      </c>
      <c r="L57" s="3">
        <v>0.97916666666666663</v>
      </c>
    </row>
    <row r="58" spans="1:12" x14ac:dyDescent="0.25">
      <c r="A58" t="s">
        <v>55</v>
      </c>
      <c r="B58" s="2">
        <v>46079</v>
      </c>
      <c r="C58" t="s">
        <v>16</v>
      </c>
      <c r="D58" t="s">
        <v>159</v>
      </c>
      <c r="E58" s="5">
        <v>181000000</v>
      </c>
      <c r="F58" s="5">
        <v>184000000</v>
      </c>
      <c r="G58" s="5">
        <v>3000000</v>
      </c>
      <c r="H58" s="5">
        <v>18100000</v>
      </c>
      <c r="I58" s="5">
        <v>18400000</v>
      </c>
      <c r="J58" s="5">
        <v>181000000</v>
      </c>
      <c r="K58" s="5">
        <v>184000000</v>
      </c>
      <c r="L58" s="3">
        <v>0.97916666666666663</v>
      </c>
    </row>
    <row r="59" spans="1:12" x14ac:dyDescent="0.25">
      <c r="A59" t="s">
        <v>56</v>
      </c>
      <c r="B59" s="2">
        <v>46080</v>
      </c>
      <c r="C59" t="s">
        <v>17</v>
      </c>
      <c r="D59" t="s">
        <v>159</v>
      </c>
      <c r="E59" s="5">
        <v>180800000</v>
      </c>
      <c r="F59" s="5">
        <v>183800000</v>
      </c>
      <c r="G59" s="5">
        <v>3000000</v>
      </c>
      <c r="H59" s="5">
        <v>18080000</v>
      </c>
      <c r="I59" s="5">
        <v>18380000</v>
      </c>
      <c r="J59" s="5">
        <v>181000000</v>
      </c>
      <c r="K59" s="5">
        <v>184000000</v>
      </c>
      <c r="L59" s="3">
        <v>0.97916666666666663</v>
      </c>
    </row>
    <row r="60" spans="1:12" x14ac:dyDescent="0.25">
      <c r="A60" t="s">
        <v>57</v>
      </c>
      <c r="B60" s="2">
        <v>46081</v>
      </c>
      <c r="C60" t="s">
        <v>18</v>
      </c>
      <c r="D60" t="s">
        <v>159</v>
      </c>
      <c r="E60" s="5">
        <v>183800000</v>
      </c>
      <c r="F60" s="5">
        <v>186800000</v>
      </c>
      <c r="G60" s="5">
        <v>3000000</v>
      </c>
      <c r="H60" s="5">
        <v>18380000</v>
      </c>
      <c r="I60" s="5">
        <v>18680000</v>
      </c>
      <c r="J60" s="5">
        <v>184000000</v>
      </c>
      <c r="K60" s="5">
        <v>187000000</v>
      </c>
      <c r="L60" s="3">
        <v>0.39583333333333331</v>
      </c>
    </row>
    <row r="61" spans="1:12" x14ac:dyDescent="0.25">
      <c r="A61" s="2">
        <v>46025</v>
      </c>
      <c r="B61" s="2">
        <v>46082</v>
      </c>
      <c r="C61" t="s">
        <v>19</v>
      </c>
      <c r="D61" t="s">
        <v>159</v>
      </c>
      <c r="E61" s="5">
        <v>183800000</v>
      </c>
      <c r="F61" s="5">
        <v>186800000</v>
      </c>
      <c r="G61" s="5">
        <v>3000000</v>
      </c>
      <c r="H61" s="5">
        <v>18380000</v>
      </c>
      <c r="I61" s="5">
        <v>18680000</v>
      </c>
      <c r="J61" s="5">
        <v>184000000</v>
      </c>
      <c r="K61" s="5">
        <v>187000000</v>
      </c>
      <c r="L61" s="3">
        <v>0.41666666666666669</v>
      </c>
    </row>
    <row r="62" spans="1:12" x14ac:dyDescent="0.25">
      <c r="A62" s="2">
        <v>46056</v>
      </c>
      <c r="B62" s="2">
        <v>46083</v>
      </c>
      <c r="C62" t="s">
        <v>20</v>
      </c>
      <c r="D62" t="s">
        <v>159</v>
      </c>
      <c r="E62" s="5">
        <v>186400000</v>
      </c>
      <c r="F62" s="5">
        <v>189400000</v>
      </c>
      <c r="G62" s="5">
        <v>3000000</v>
      </c>
      <c r="H62" s="5">
        <v>18640000</v>
      </c>
      <c r="I62" s="5">
        <v>18940000</v>
      </c>
      <c r="J62" s="5">
        <v>187900000</v>
      </c>
      <c r="K62" s="5">
        <v>190900000</v>
      </c>
      <c r="L62" s="3">
        <v>0.97916666666666663</v>
      </c>
    </row>
    <row r="63" spans="1:12" x14ac:dyDescent="0.25">
      <c r="A63" s="2">
        <v>46084</v>
      </c>
      <c r="B63" s="2">
        <v>46084</v>
      </c>
      <c r="C63" t="s">
        <v>21</v>
      </c>
      <c r="D63" t="s">
        <v>159</v>
      </c>
      <c r="E63" s="5">
        <v>184900000</v>
      </c>
      <c r="F63" s="5">
        <v>187900000</v>
      </c>
      <c r="G63" s="5">
        <v>3000000</v>
      </c>
      <c r="H63" s="5">
        <v>18490000</v>
      </c>
      <c r="I63" s="5">
        <v>18790000</v>
      </c>
      <c r="J63" s="5">
        <v>185200000</v>
      </c>
      <c r="K63" s="5">
        <v>188200000</v>
      </c>
      <c r="L63" s="3">
        <v>0.97916666666666663</v>
      </c>
    </row>
    <row r="64" spans="1:12" x14ac:dyDescent="0.25">
      <c r="A64" s="2">
        <v>46115</v>
      </c>
      <c r="B64" s="2">
        <v>46085</v>
      </c>
      <c r="C64" t="s">
        <v>22</v>
      </c>
      <c r="D64" t="s">
        <v>159</v>
      </c>
      <c r="E64" s="5">
        <v>180900000</v>
      </c>
      <c r="F64" s="5">
        <v>183900000</v>
      </c>
      <c r="G64" s="5">
        <v>3000000</v>
      </c>
      <c r="H64" s="5">
        <v>18090000</v>
      </c>
      <c r="I64" s="5">
        <v>18390000</v>
      </c>
      <c r="J64" s="5">
        <v>181200000</v>
      </c>
      <c r="K64" s="5">
        <v>184200000</v>
      </c>
      <c r="L64" s="3">
        <v>0.97916666666666663</v>
      </c>
    </row>
    <row r="65" spans="1:12" x14ac:dyDescent="0.25">
      <c r="A65" s="2">
        <v>46145</v>
      </c>
      <c r="B65" s="2">
        <v>46086</v>
      </c>
      <c r="C65" t="s">
        <v>16</v>
      </c>
      <c r="D65" t="s">
        <v>159</v>
      </c>
      <c r="E65" s="5">
        <v>181400000</v>
      </c>
      <c r="F65" s="5">
        <v>184400000</v>
      </c>
      <c r="G65" s="5">
        <v>3000000</v>
      </c>
      <c r="H65" s="5">
        <v>18140000</v>
      </c>
      <c r="I65" s="5">
        <v>18440000</v>
      </c>
      <c r="J65" s="5">
        <v>181700000</v>
      </c>
      <c r="K65" s="5">
        <v>184700000</v>
      </c>
      <c r="L65" s="3">
        <v>0.97916666666666663</v>
      </c>
    </row>
    <row r="66" spans="1:12" x14ac:dyDescent="0.25">
      <c r="A66" s="2">
        <v>46176</v>
      </c>
      <c r="B66" s="2">
        <v>46087</v>
      </c>
      <c r="C66" t="s">
        <v>17</v>
      </c>
      <c r="D66" t="s">
        <v>159</v>
      </c>
      <c r="E66" s="5">
        <v>180500000</v>
      </c>
      <c r="F66" s="5">
        <v>183500000</v>
      </c>
      <c r="G66" s="5">
        <v>3000000</v>
      </c>
      <c r="H66" s="5">
        <v>18050000</v>
      </c>
      <c r="I66" s="5">
        <v>18350000</v>
      </c>
      <c r="J66" s="5">
        <v>180800000</v>
      </c>
      <c r="K66" s="5">
        <v>183800000</v>
      </c>
      <c r="L66" s="3">
        <v>0.97916666666666663</v>
      </c>
    </row>
    <row r="67" spans="1:12" x14ac:dyDescent="0.25">
      <c r="A67" s="2">
        <v>46206</v>
      </c>
      <c r="B67" s="2">
        <v>46088</v>
      </c>
      <c r="C67" t="s">
        <v>18</v>
      </c>
      <c r="D67" t="s">
        <v>159</v>
      </c>
      <c r="E67" s="5">
        <v>181700000</v>
      </c>
      <c r="F67" s="5">
        <v>184700000</v>
      </c>
      <c r="G67" s="5">
        <v>3000000</v>
      </c>
      <c r="H67" s="5">
        <v>18170000</v>
      </c>
      <c r="I67" s="5">
        <v>18470000</v>
      </c>
      <c r="J67" s="5">
        <v>182000000</v>
      </c>
      <c r="K67" s="5">
        <v>185000000</v>
      </c>
      <c r="L67" s="3">
        <v>0.39583333333333331</v>
      </c>
    </row>
    <row r="68" spans="1:12" x14ac:dyDescent="0.25">
      <c r="A68" s="2">
        <v>46237</v>
      </c>
      <c r="B68" s="2">
        <v>46089</v>
      </c>
      <c r="C68" t="s">
        <v>19</v>
      </c>
      <c r="D68" t="s">
        <v>159</v>
      </c>
      <c r="E68" s="5">
        <v>181700000</v>
      </c>
      <c r="F68" s="5">
        <v>184700000</v>
      </c>
      <c r="G68" s="5">
        <v>3000000</v>
      </c>
      <c r="H68" s="5">
        <v>18170000</v>
      </c>
      <c r="I68" s="5">
        <v>18470000</v>
      </c>
      <c r="J68" s="5">
        <v>182000000</v>
      </c>
      <c r="K68" s="5">
        <v>185000000</v>
      </c>
      <c r="L68" s="3">
        <v>0</v>
      </c>
    </row>
    <row r="69" spans="1:12" x14ac:dyDescent="0.25">
      <c r="A69" s="2">
        <v>46268</v>
      </c>
      <c r="B69" s="2">
        <v>46090</v>
      </c>
      <c r="C69" t="s">
        <v>20</v>
      </c>
      <c r="D69" t="s">
        <v>159</v>
      </c>
      <c r="E69" s="5">
        <v>180800000</v>
      </c>
      <c r="F69" s="5">
        <v>183800000</v>
      </c>
      <c r="G69" s="5">
        <v>3000000</v>
      </c>
      <c r="H69" s="5">
        <v>18080000</v>
      </c>
      <c r="I69" s="5">
        <v>18380000</v>
      </c>
      <c r="J69" s="5">
        <v>181100000</v>
      </c>
      <c r="K69" s="5">
        <v>184100000</v>
      </c>
      <c r="L69" s="3">
        <v>0.97916666666666663</v>
      </c>
    </row>
    <row r="70" spans="1:12" x14ac:dyDescent="0.25">
      <c r="A70" s="2">
        <v>46298</v>
      </c>
      <c r="B70" s="2">
        <v>46091</v>
      </c>
      <c r="C70" t="s">
        <v>21</v>
      </c>
      <c r="D70" t="s">
        <v>159</v>
      </c>
      <c r="E70" s="5">
        <v>182800000</v>
      </c>
      <c r="F70" s="5">
        <v>185800000</v>
      </c>
      <c r="G70" s="5">
        <v>3000000</v>
      </c>
      <c r="H70" s="5">
        <v>18280000</v>
      </c>
      <c r="I70" s="5">
        <v>18580000</v>
      </c>
      <c r="J70" s="5">
        <v>183100000</v>
      </c>
      <c r="K70" s="5">
        <v>186100000</v>
      </c>
      <c r="L70" s="3">
        <v>0.97916666666666663</v>
      </c>
    </row>
    <row r="71" spans="1:12" x14ac:dyDescent="0.25">
      <c r="A71" s="2">
        <v>46329</v>
      </c>
      <c r="B71" s="2">
        <v>46092</v>
      </c>
      <c r="C71" t="s">
        <v>22</v>
      </c>
      <c r="D71" t="s">
        <v>159</v>
      </c>
      <c r="E71" s="5">
        <v>183900000</v>
      </c>
      <c r="F71" s="5">
        <v>186900000</v>
      </c>
      <c r="G71" s="5">
        <v>3000000</v>
      </c>
      <c r="H71" s="5">
        <v>18390000</v>
      </c>
      <c r="I71" s="5">
        <v>18690000</v>
      </c>
      <c r="J71" s="5">
        <v>184200000</v>
      </c>
      <c r="K71" s="5">
        <v>187200000</v>
      </c>
      <c r="L71" s="3">
        <v>0.97916666666666663</v>
      </c>
    </row>
    <row r="72" spans="1:12" x14ac:dyDescent="0.25">
      <c r="A72" s="2">
        <v>46359</v>
      </c>
      <c r="B72" s="2">
        <v>46093</v>
      </c>
      <c r="C72" t="s">
        <v>16</v>
      </c>
      <c r="D72" t="s">
        <v>159</v>
      </c>
      <c r="E72" s="5">
        <v>183000000</v>
      </c>
      <c r="F72" s="5">
        <v>186000000</v>
      </c>
      <c r="G72" s="5">
        <v>3000000</v>
      </c>
      <c r="H72" s="5">
        <v>18300000</v>
      </c>
      <c r="I72" s="5">
        <v>18600000</v>
      </c>
      <c r="J72" s="5">
        <v>183300000</v>
      </c>
      <c r="K72" s="5">
        <v>186300000</v>
      </c>
      <c r="L72" s="3">
        <v>0.97916666666666663</v>
      </c>
    </row>
    <row r="73" spans="1:12" x14ac:dyDescent="0.25">
      <c r="A73" t="s">
        <v>58</v>
      </c>
      <c r="B73" s="2">
        <v>46094</v>
      </c>
      <c r="C73" t="s">
        <v>17</v>
      </c>
      <c r="D73" t="s">
        <v>159</v>
      </c>
      <c r="E73" s="5">
        <v>181500000</v>
      </c>
      <c r="F73" s="5">
        <v>184500000</v>
      </c>
      <c r="G73" s="5">
        <v>3000000</v>
      </c>
      <c r="H73" s="5">
        <v>18150000</v>
      </c>
      <c r="I73" s="5">
        <v>18450000</v>
      </c>
      <c r="J73" s="5">
        <v>181800000</v>
      </c>
      <c r="K73" s="5">
        <v>184800000</v>
      </c>
      <c r="L73" s="3">
        <v>0.97916666666666663</v>
      </c>
    </row>
    <row r="74" spans="1:12" x14ac:dyDescent="0.25">
      <c r="A74" t="s">
        <v>59</v>
      </c>
      <c r="B74" s="2">
        <v>46095</v>
      </c>
      <c r="C74" t="s">
        <v>18</v>
      </c>
      <c r="D74" t="s">
        <v>159</v>
      </c>
      <c r="E74" s="5">
        <v>179300000</v>
      </c>
      <c r="F74" s="5">
        <v>182300000</v>
      </c>
      <c r="G74" s="5">
        <v>3000000</v>
      </c>
      <c r="H74" s="5">
        <v>17930000</v>
      </c>
      <c r="I74" s="5">
        <v>18230000</v>
      </c>
      <c r="J74" s="5">
        <v>179600000</v>
      </c>
      <c r="K74" s="5">
        <v>182600000</v>
      </c>
      <c r="L74" s="3">
        <v>0.5</v>
      </c>
    </row>
    <row r="75" spans="1:12" x14ac:dyDescent="0.25">
      <c r="A75" t="s">
        <v>60</v>
      </c>
      <c r="B75" s="2">
        <v>46096</v>
      </c>
      <c r="C75" t="s">
        <v>19</v>
      </c>
      <c r="D75" t="s">
        <v>159</v>
      </c>
      <c r="E75" s="5">
        <v>179300000</v>
      </c>
      <c r="F75" s="5">
        <v>182300000</v>
      </c>
      <c r="G75" s="5">
        <v>3000000</v>
      </c>
      <c r="H75" s="5">
        <v>17930000</v>
      </c>
      <c r="I75" s="5">
        <v>18230000</v>
      </c>
      <c r="J75" s="5">
        <v>179600000</v>
      </c>
      <c r="K75" s="5">
        <v>182600000</v>
      </c>
      <c r="L75" s="3">
        <v>0</v>
      </c>
    </row>
    <row r="76" spans="1:12" x14ac:dyDescent="0.25">
      <c r="A76" t="s">
        <v>61</v>
      </c>
      <c r="B76" s="2">
        <v>46097</v>
      </c>
      <c r="C76" t="s">
        <v>20</v>
      </c>
      <c r="D76" t="s">
        <v>159</v>
      </c>
      <c r="E76" s="5">
        <v>179800000</v>
      </c>
      <c r="F76" s="5">
        <v>182800000</v>
      </c>
      <c r="G76" s="5">
        <v>3000000</v>
      </c>
      <c r="H76" s="5">
        <v>17980000</v>
      </c>
      <c r="I76" s="5">
        <v>18280000</v>
      </c>
      <c r="J76" s="5">
        <v>180100000</v>
      </c>
      <c r="K76" s="5">
        <v>183100000</v>
      </c>
      <c r="L76" s="3">
        <v>0.97916666666666663</v>
      </c>
    </row>
    <row r="77" spans="1:12" x14ac:dyDescent="0.25">
      <c r="A77" t="s">
        <v>62</v>
      </c>
      <c r="B77" s="2">
        <v>46098</v>
      </c>
      <c r="C77" t="s">
        <v>21</v>
      </c>
      <c r="D77" t="s">
        <v>159</v>
      </c>
      <c r="E77" s="5">
        <v>179700000</v>
      </c>
      <c r="F77" s="5">
        <v>182700000</v>
      </c>
      <c r="G77" s="5">
        <v>3000000</v>
      </c>
      <c r="H77" s="5">
        <v>17970000</v>
      </c>
      <c r="I77" s="5">
        <v>18270000</v>
      </c>
      <c r="J77" s="5">
        <v>180000000</v>
      </c>
      <c r="K77" s="5">
        <v>183000000</v>
      </c>
      <c r="L77" s="3">
        <v>0.97916666666666663</v>
      </c>
    </row>
    <row r="78" spans="1:12" x14ac:dyDescent="0.25">
      <c r="A78" t="s">
        <v>63</v>
      </c>
      <c r="B78" s="2">
        <v>46099</v>
      </c>
      <c r="C78" t="s">
        <v>22</v>
      </c>
      <c r="D78" t="s">
        <v>159</v>
      </c>
      <c r="E78" s="5">
        <v>179700000</v>
      </c>
      <c r="F78" s="5">
        <v>182700000</v>
      </c>
      <c r="G78" s="5">
        <v>3000000</v>
      </c>
      <c r="H78" s="5">
        <v>17970000</v>
      </c>
      <c r="I78" s="5">
        <v>18270000</v>
      </c>
      <c r="J78" s="5">
        <v>180000000</v>
      </c>
      <c r="K78" s="5">
        <v>183000000</v>
      </c>
      <c r="L78" s="3">
        <v>0.97916666666666663</v>
      </c>
    </row>
    <row r="79" spans="1:12" x14ac:dyDescent="0.25">
      <c r="A79" t="s">
        <v>64</v>
      </c>
      <c r="B79" s="2">
        <v>46100</v>
      </c>
      <c r="C79" t="s">
        <v>16</v>
      </c>
      <c r="D79" t="s">
        <v>159</v>
      </c>
      <c r="E79" s="5">
        <v>172200000</v>
      </c>
      <c r="F79" s="5">
        <v>175200000</v>
      </c>
      <c r="G79" s="5">
        <v>3000000</v>
      </c>
      <c r="H79" s="5">
        <v>17220000</v>
      </c>
      <c r="I79" s="5">
        <v>17520000</v>
      </c>
      <c r="J79" s="5">
        <v>172500000</v>
      </c>
      <c r="K79" s="5">
        <v>175500000</v>
      </c>
      <c r="L79" s="3">
        <v>0.97916666666666663</v>
      </c>
    </row>
    <row r="80" spans="1:12" x14ac:dyDescent="0.25">
      <c r="A80" t="s">
        <v>65</v>
      </c>
      <c r="B80" s="2">
        <v>46101</v>
      </c>
      <c r="C80" t="s">
        <v>17</v>
      </c>
      <c r="D80" t="s">
        <v>159</v>
      </c>
      <c r="E80" s="5">
        <v>172800000</v>
      </c>
      <c r="F80" s="5">
        <v>175800000</v>
      </c>
      <c r="G80" s="5">
        <v>3000000</v>
      </c>
      <c r="H80" s="5">
        <v>17280000</v>
      </c>
      <c r="I80" s="5">
        <v>17580000</v>
      </c>
      <c r="J80" s="5">
        <v>173100000</v>
      </c>
      <c r="K80" s="5">
        <v>176100000</v>
      </c>
      <c r="L80" s="3">
        <v>0.97916666666666663</v>
      </c>
    </row>
    <row r="81" spans="1:12" x14ac:dyDescent="0.25">
      <c r="A81" t="s">
        <v>66</v>
      </c>
      <c r="B81" s="2">
        <v>46102</v>
      </c>
      <c r="C81" t="s">
        <v>18</v>
      </c>
      <c r="D81" t="s">
        <v>159</v>
      </c>
      <c r="E81" s="5">
        <v>167700000</v>
      </c>
      <c r="F81" s="5">
        <v>170700000</v>
      </c>
      <c r="G81" s="5">
        <v>3000000</v>
      </c>
      <c r="H81" s="5">
        <v>16770000</v>
      </c>
      <c r="I81" s="5">
        <v>17070000</v>
      </c>
      <c r="J81" s="5">
        <v>168000000</v>
      </c>
      <c r="K81" s="5">
        <v>171000000</v>
      </c>
      <c r="L81" s="3">
        <v>0.39583333333333331</v>
      </c>
    </row>
    <row r="82" spans="1:12" x14ac:dyDescent="0.25">
      <c r="A82" t="s">
        <v>67</v>
      </c>
      <c r="B82" s="2">
        <v>46103</v>
      </c>
      <c r="C82" t="s">
        <v>19</v>
      </c>
      <c r="D82" t="s">
        <v>159</v>
      </c>
      <c r="E82" s="5">
        <v>167700000</v>
      </c>
      <c r="F82" s="5">
        <v>170700000</v>
      </c>
      <c r="G82" s="5">
        <v>3000000</v>
      </c>
      <c r="H82" s="5">
        <v>16770000</v>
      </c>
      <c r="I82" s="5">
        <v>17070000</v>
      </c>
      <c r="J82" s="5">
        <v>168000000</v>
      </c>
      <c r="K82" s="5">
        <v>171000000</v>
      </c>
      <c r="L82" s="3">
        <v>0.52083333333333337</v>
      </c>
    </row>
    <row r="83" spans="1:12" x14ac:dyDescent="0.25">
      <c r="A83" t="s">
        <v>68</v>
      </c>
      <c r="B83" s="2">
        <v>46104</v>
      </c>
      <c r="C83" t="s">
        <v>20</v>
      </c>
      <c r="D83" t="s">
        <v>159</v>
      </c>
      <c r="E83" s="5">
        <v>162800000</v>
      </c>
      <c r="F83" s="5">
        <v>165800000</v>
      </c>
      <c r="G83" s="5">
        <v>3000000</v>
      </c>
      <c r="H83" s="5">
        <v>16280000</v>
      </c>
      <c r="I83" s="5">
        <v>16580000</v>
      </c>
      <c r="J83" s="5">
        <v>163000000</v>
      </c>
      <c r="K83" s="5">
        <v>166000000</v>
      </c>
      <c r="L83" s="3">
        <v>0.97916666666666663</v>
      </c>
    </row>
    <row r="84" spans="1:12" x14ac:dyDescent="0.25">
      <c r="A84" t="s">
        <v>69</v>
      </c>
      <c r="B84" s="2">
        <v>46105</v>
      </c>
      <c r="C84" t="s">
        <v>21</v>
      </c>
      <c r="D84" t="s">
        <v>159</v>
      </c>
      <c r="E84" s="5">
        <v>167000000</v>
      </c>
      <c r="F84" s="5">
        <v>170000000</v>
      </c>
      <c r="G84" s="5">
        <v>3000000</v>
      </c>
      <c r="H84" s="5">
        <v>16700000</v>
      </c>
      <c r="I84" s="5">
        <v>17000000</v>
      </c>
      <c r="J84" s="5">
        <v>167200000</v>
      </c>
      <c r="K84" s="5">
        <v>170200000</v>
      </c>
      <c r="L84" s="3">
        <v>0.97916666666666663</v>
      </c>
    </row>
    <row r="85" spans="1:12" x14ac:dyDescent="0.25">
      <c r="A85" t="s">
        <v>70</v>
      </c>
      <c r="B85" s="2">
        <v>46106</v>
      </c>
      <c r="C85" t="s">
        <v>22</v>
      </c>
      <c r="D85" t="s">
        <v>159</v>
      </c>
      <c r="E85" s="5">
        <v>170300000</v>
      </c>
      <c r="F85" s="5">
        <v>173300000</v>
      </c>
      <c r="G85" s="5">
        <v>3000000</v>
      </c>
      <c r="H85" s="5">
        <v>17030000</v>
      </c>
      <c r="I85" s="5">
        <v>17330000</v>
      </c>
      <c r="J85" s="5">
        <v>170500000</v>
      </c>
      <c r="K85" s="5">
        <v>173500000</v>
      </c>
      <c r="L85" s="3">
        <v>0.97916666666666663</v>
      </c>
    </row>
    <row r="86" spans="1:12" x14ac:dyDescent="0.25">
      <c r="A86" t="s">
        <v>71</v>
      </c>
      <c r="B86" s="2">
        <v>46107</v>
      </c>
      <c r="C86" t="s">
        <v>16</v>
      </c>
      <c r="D86" t="s">
        <v>159</v>
      </c>
      <c r="E86" s="5">
        <v>168300000</v>
      </c>
      <c r="F86" s="5">
        <v>171300000</v>
      </c>
      <c r="G86" s="5">
        <v>3000000</v>
      </c>
      <c r="H86" s="5">
        <v>16830000</v>
      </c>
      <c r="I86" s="5">
        <v>17130000</v>
      </c>
      <c r="J86" s="5">
        <v>168500000</v>
      </c>
      <c r="K86" s="5">
        <v>171500000</v>
      </c>
      <c r="L86" s="3">
        <v>0.97916666666666663</v>
      </c>
    </row>
    <row r="87" spans="1:12" x14ac:dyDescent="0.25">
      <c r="A87" t="s">
        <v>72</v>
      </c>
      <c r="B87" s="2">
        <v>46108</v>
      </c>
      <c r="C87" t="s">
        <v>17</v>
      </c>
      <c r="D87" t="s">
        <v>159</v>
      </c>
      <c r="E87" s="5">
        <v>168400000</v>
      </c>
      <c r="F87" s="5">
        <v>171400000</v>
      </c>
      <c r="G87" s="5">
        <v>3000000</v>
      </c>
      <c r="H87" s="5">
        <v>16840000</v>
      </c>
      <c r="I87" s="5">
        <v>17140000</v>
      </c>
      <c r="J87" s="5">
        <v>168600000</v>
      </c>
      <c r="K87" s="5">
        <v>171600000</v>
      </c>
      <c r="L87" s="3">
        <v>0.97916666666666663</v>
      </c>
    </row>
    <row r="88" spans="1:12" x14ac:dyDescent="0.25">
      <c r="A88" t="s">
        <v>73</v>
      </c>
      <c r="B88" s="2">
        <v>46109</v>
      </c>
      <c r="C88" t="s">
        <v>18</v>
      </c>
      <c r="D88" t="s">
        <v>159</v>
      </c>
      <c r="E88" s="5">
        <v>169600000</v>
      </c>
      <c r="F88" s="5">
        <v>172600000</v>
      </c>
      <c r="G88" s="5">
        <v>3000000</v>
      </c>
      <c r="H88" s="5">
        <v>16960000</v>
      </c>
      <c r="I88" s="5">
        <v>17260000</v>
      </c>
      <c r="J88" s="5">
        <v>169800000</v>
      </c>
      <c r="K88" s="5">
        <v>172800000</v>
      </c>
      <c r="L88" s="3">
        <v>0.39583333333333331</v>
      </c>
    </row>
    <row r="89" spans="1:12" x14ac:dyDescent="0.25">
      <c r="A89" t="s">
        <v>74</v>
      </c>
      <c r="B89" s="2">
        <v>46110</v>
      </c>
      <c r="C89" t="s">
        <v>19</v>
      </c>
      <c r="D89" t="s">
        <v>159</v>
      </c>
      <c r="E89" s="5">
        <v>169600000</v>
      </c>
      <c r="F89" s="5">
        <v>172600000</v>
      </c>
      <c r="G89" s="5">
        <v>3000000</v>
      </c>
      <c r="H89" s="5">
        <v>16960000</v>
      </c>
      <c r="I89" s="5">
        <v>17260000</v>
      </c>
      <c r="J89" s="5">
        <v>169800000</v>
      </c>
      <c r="K89" s="5">
        <v>172800000</v>
      </c>
      <c r="L89" s="3">
        <v>0</v>
      </c>
    </row>
    <row r="90" spans="1:12" x14ac:dyDescent="0.25">
      <c r="A90" t="s">
        <v>75</v>
      </c>
      <c r="B90" s="2">
        <v>46111</v>
      </c>
      <c r="C90" t="s">
        <v>20</v>
      </c>
      <c r="D90" t="s">
        <v>159</v>
      </c>
      <c r="E90" s="5">
        <v>170600000</v>
      </c>
      <c r="F90" s="5">
        <v>173600000</v>
      </c>
      <c r="G90" s="5">
        <v>3000000</v>
      </c>
      <c r="H90" s="5">
        <v>17060000</v>
      </c>
      <c r="I90" s="5">
        <v>17360000</v>
      </c>
      <c r="J90" s="5">
        <v>170800000</v>
      </c>
      <c r="K90" s="5">
        <v>173800000</v>
      </c>
      <c r="L90" s="3">
        <v>0.97916666666666663</v>
      </c>
    </row>
    <row r="91" spans="1:12" x14ac:dyDescent="0.25">
      <c r="A91" t="s">
        <v>76</v>
      </c>
      <c r="B91" s="2">
        <v>46112</v>
      </c>
      <c r="C91" t="s">
        <v>21</v>
      </c>
      <c r="D91" t="s">
        <v>159</v>
      </c>
      <c r="E91" s="5">
        <v>171700000</v>
      </c>
      <c r="F91" s="5">
        <v>174700000</v>
      </c>
      <c r="G91" s="5">
        <v>3000000</v>
      </c>
      <c r="H91" s="5">
        <v>17170000</v>
      </c>
      <c r="I91" s="5">
        <v>17470000</v>
      </c>
      <c r="J91" s="5">
        <v>171900000</v>
      </c>
      <c r="K91" s="5">
        <v>174900000</v>
      </c>
      <c r="L91" s="3">
        <v>0.97916666666666663</v>
      </c>
    </row>
    <row r="92" spans="1:12" x14ac:dyDescent="0.25">
      <c r="A92" s="2">
        <v>46026</v>
      </c>
      <c r="B92" s="2">
        <v>46113</v>
      </c>
      <c r="C92" t="s">
        <v>22</v>
      </c>
      <c r="D92" t="s">
        <v>159</v>
      </c>
      <c r="E92" s="5">
        <v>173500000</v>
      </c>
      <c r="F92" s="5">
        <v>176500000</v>
      </c>
      <c r="G92" s="5">
        <v>3000000</v>
      </c>
      <c r="H92" s="5">
        <v>17350000</v>
      </c>
      <c r="I92" s="5">
        <v>17650000</v>
      </c>
      <c r="J92" s="5">
        <v>173700000</v>
      </c>
      <c r="K92" s="5">
        <v>176700000</v>
      </c>
      <c r="L92" s="3">
        <v>0.95833333333333337</v>
      </c>
    </row>
    <row r="93" spans="1:12" x14ac:dyDescent="0.25">
      <c r="A93" s="2">
        <v>46057</v>
      </c>
      <c r="B93" s="2">
        <v>46114</v>
      </c>
      <c r="C93" t="s">
        <v>16</v>
      </c>
      <c r="D93" t="s">
        <v>159</v>
      </c>
      <c r="E93" s="5">
        <v>169800000</v>
      </c>
      <c r="F93" s="5">
        <v>173300000</v>
      </c>
      <c r="G93" s="5">
        <v>3500000</v>
      </c>
      <c r="H93" s="5">
        <v>16980000</v>
      </c>
      <c r="I93" s="5">
        <v>17330000</v>
      </c>
      <c r="J93" s="5">
        <v>170000000</v>
      </c>
      <c r="K93" s="5">
        <v>173500000</v>
      </c>
      <c r="L93" s="3">
        <v>0.97916666666666663</v>
      </c>
    </row>
    <row r="94" spans="1:12" x14ac:dyDescent="0.25">
      <c r="A94" s="2">
        <v>46085</v>
      </c>
      <c r="B94" s="2">
        <v>46115</v>
      </c>
      <c r="C94" t="s">
        <v>17</v>
      </c>
      <c r="D94" t="s">
        <v>159</v>
      </c>
      <c r="E94" s="5">
        <v>170800000</v>
      </c>
      <c r="F94" s="5">
        <v>174300000</v>
      </c>
      <c r="G94" s="5">
        <v>3500000</v>
      </c>
      <c r="H94" s="5">
        <v>17080000</v>
      </c>
      <c r="I94" s="5">
        <v>17430000</v>
      </c>
      <c r="J94" s="5">
        <v>171000000</v>
      </c>
      <c r="K94" s="5">
        <v>174500000</v>
      </c>
      <c r="L94" s="3">
        <v>0.39583333333333331</v>
      </c>
    </row>
    <row r="95" spans="1:12" x14ac:dyDescent="0.25">
      <c r="A95" s="2">
        <v>46116</v>
      </c>
      <c r="B95" s="2">
        <v>46116</v>
      </c>
      <c r="C95" t="s">
        <v>18</v>
      </c>
      <c r="D95" t="s">
        <v>159</v>
      </c>
      <c r="E95" s="5">
        <v>171300000</v>
      </c>
      <c r="F95" s="5">
        <v>174300000</v>
      </c>
      <c r="G95" s="5">
        <v>3000000</v>
      </c>
      <c r="H95" s="5">
        <v>17130000</v>
      </c>
      <c r="I95" s="5">
        <v>17430000</v>
      </c>
      <c r="J95" s="5">
        <v>171500000</v>
      </c>
      <c r="K95" s="5">
        <v>174500000</v>
      </c>
      <c r="L95" s="3">
        <v>0.35416666666666669</v>
      </c>
    </row>
    <row r="96" spans="1:12" x14ac:dyDescent="0.25">
      <c r="A96" s="2">
        <v>46146</v>
      </c>
      <c r="B96" s="2">
        <v>46117</v>
      </c>
      <c r="C96" t="s">
        <v>19</v>
      </c>
      <c r="D96" t="s">
        <v>159</v>
      </c>
      <c r="E96" s="5">
        <v>171300000</v>
      </c>
      <c r="F96" s="5">
        <v>174300000</v>
      </c>
      <c r="G96" s="5">
        <v>3000000</v>
      </c>
      <c r="H96" s="5">
        <v>17130000</v>
      </c>
      <c r="I96" s="5">
        <v>17430000</v>
      </c>
      <c r="J96" s="5">
        <v>171500000</v>
      </c>
      <c r="K96" s="5">
        <v>174500000</v>
      </c>
      <c r="L96" s="3">
        <v>0</v>
      </c>
    </row>
    <row r="97" spans="1:12" x14ac:dyDescent="0.25">
      <c r="A97" s="2">
        <v>46177</v>
      </c>
      <c r="B97" s="2">
        <v>46118</v>
      </c>
      <c r="C97" t="s">
        <v>20</v>
      </c>
      <c r="D97" t="s">
        <v>159</v>
      </c>
      <c r="E97" s="5">
        <v>169600000</v>
      </c>
      <c r="F97" s="5">
        <v>172600000</v>
      </c>
      <c r="G97" s="5">
        <v>3000000</v>
      </c>
      <c r="H97" s="5">
        <v>16960000</v>
      </c>
      <c r="I97" s="5">
        <v>17260000</v>
      </c>
      <c r="J97" s="5">
        <v>170100000</v>
      </c>
      <c r="K97" s="5">
        <v>173100000</v>
      </c>
      <c r="L97" s="3">
        <v>0.97916666666666663</v>
      </c>
    </row>
    <row r="98" spans="1:12" x14ac:dyDescent="0.25">
      <c r="A98" s="2">
        <v>46207</v>
      </c>
      <c r="B98" s="2">
        <v>46119</v>
      </c>
      <c r="C98" t="s">
        <v>21</v>
      </c>
      <c r="D98" t="s">
        <v>159</v>
      </c>
      <c r="E98" s="5">
        <v>169000000</v>
      </c>
      <c r="F98" s="5">
        <v>172000000</v>
      </c>
      <c r="G98" s="5">
        <v>3000000</v>
      </c>
      <c r="H98" s="5">
        <v>16900000</v>
      </c>
      <c r="I98" s="5">
        <v>17200000</v>
      </c>
      <c r="J98" s="5">
        <v>169500000</v>
      </c>
      <c r="K98" s="5">
        <v>172500000</v>
      </c>
      <c r="L98" s="3">
        <v>0.97916666666666663</v>
      </c>
    </row>
    <row r="99" spans="1:12" x14ac:dyDescent="0.25">
      <c r="A99" s="2">
        <v>46238</v>
      </c>
      <c r="B99" s="2">
        <v>46120</v>
      </c>
      <c r="C99" t="s">
        <v>22</v>
      </c>
      <c r="D99" t="s">
        <v>159</v>
      </c>
      <c r="E99" s="5">
        <v>170500000</v>
      </c>
      <c r="F99" s="5">
        <v>174500000</v>
      </c>
      <c r="G99" s="5">
        <v>4000000</v>
      </c>
      <c r="H99" s="5">
        <v>17050000</v>
      </c>
      <c r="I99" s="5">
        <v>17450000</v>
      </c>
      <c r="J99" s="5">
        <v>171000000</v>
      </c>
      <c r="K99" s="5">
        <v>175000000</v>
      </c>
      <c r="L99" s="3">
        <v>0.97916666666666663</v>
      </c>
    </row>
    <row r="100" spans="1:12" x14ac:dyDescent="0.25">
      <c r="A100" s="2">
        <v>46269</v>
      </c>
      <c r="B100" s="2">
        <v>46121</v>
      </c>
      <c r="C100" t="s">
        <v>16</v>
      </c>
      <c r="D100" t="s">
        <v>159</v>
      </c>
      <c r="E100" s="5">
        <v>168000000</v>
      </c>
      <c r="F100" s="5">
        <v>171000000</v>
      </c>
      <c r="G100" s="5">
        <v>3000000</v>
      </c>
      <c r="H100" s="5">
        <v>16800000</v>
      </c>
      <c r="I100" s="5">
        <v>17100000</v>
      </c>
      <c r="J100" s="5">
        <v>168500000</v>
      </c>
      <c r="K100" s="5">
        <v>171500000</v>
      </c>
      <c r="L100" s="3">
        <v>0.97916666666666663</v>
      </c>
    </row>
    <row r="101" spans="1:12" x14ac:dyDescent="0.25">
      <c r="A101" s="2">
        <v>46299</v>
      </c>
      <c r="B101" s="2">
        <v>46122</v>
      </c>
      <c r="C101" t="s">
        <v>17</v>
      </c>
      <c r="D101" t="s">
        <v>159</v>
      </c>
      <c r="E101" s="5">
        <v>169400000</v>
      </c>
      <c r="F101" s="5">
        <v>172400000</v>
      </c>
      <c r="G101" s="5">
        <v>3000000</v>
      </c>
      <c r="H101" s="5">
        <v>16940000</v>
      </c>
      <c r="I101" s="5">
        <v>17240000</v>
      </c>
      <c r="J101" s="5">
        <v>169700000</v>
      </c>
      <c r="K101" s="5">
        <v>172700000</v>
      </c>
      <c r="L101" s="3">
        <v>0.97916666666666663</v>
      </c>
    </row>
    <row r="102" spans="1:12" x14ac:dyDescent="0.25">
      <c r="A102" s="2">
        <v>46330</v>
      </c>
      <c r="B102" s="2">
        <v>46123</v>
      </c>
      <c r="C102" t="s">
        <v>18</v>
      </c>
      <c r="D102" t="s">
        <v>159</v>
      </c>
      <c r="E102" s="5">
        <v>169100000</v>
      </c>
      <c r="F102" s="5">
        <v>172100000</v>
      </c>
      <c r="G102" s="5">
        <v>3000000</v>
      </c>
      <c r="H102" s="5">
        <v>16910000</v>
      </c>
      <c r="I102" s="5">
        <v>17210000</v>
      </c>
      <c r="J102" s="5">
        <v>169400000</v>
      </c>
      <c r="K102" s="5">
        <v>172400000</v>
      </c>
      <c r="L102" s="3">
        <v>0.39583333333333331</v>
      </c>
    </row>
    <row r="103" spans="1:12" x14ac:dyDescent="0.25">
      <c r="A103" s="2">
        <v>46360</v>
      </c>
      <c r="B103" s="2">
        <v>46124</v>
      </c>
      <c r="C103" t="s">
        <v>19</v>
      </c>
      <c r="D103" t="s">
        <v>159</v>
      </c>
      <c r="E103" s="5">
        <v>169100000</v>
      </c>
      <c r="F103" s="5">
        <v>172100000</v>
      </c>
      <c r="G103" s="5">
        <v>3000000</v>
      </c>
      <c r="H103" s="5">
        <v>16910000</v>
      </c>
      <c r="I103" s="5">
        <v>17210000</v>
      </c>
      <c r="J103" s="5">
        <v>169400000</v>
      </c>
      <c r="K103" s="5">
        <v>172400000</v>
      </c>
      <c r="L103" s="3">
        <v>0.64583333333333337</v>
      </c>
    </row>
    <row r="104" spans="1:12" x14ac:dyDescent="0.25">
      <c r="A104" t="s">
        <v>77</v>
      </c>
      <c r="B104" s="2">
        <v>46125</v>
      </c>
      <c r="C104" t="s">
        <v>20</v>
      </c>
      <c r="D104" t="s">
        <v>159</v>
      </c>
      <c r="E104" s="5">
        <v>168200000</v>
      </c>
      <c r="F104" s="5">
        <v>171200000</v>
      </c>
      <c r="G104" s="5">
        <v>3000000</v>
      </c>
      <c r="H104" s="5">
        <v>16820000</v>
      </c>
      <c r="I104" s="5">
        <v>17120000</v>
      </c>
      <c r="J104" s="5">
        <v>168500000</v>
      </c>
      <c r="K104" s="5">
        <v>171500000</v>
      </c>
      <c r="L104" s="3">
        <v>0.97916666666666663</v>
      </c>
    </row>
    <row r="105" spans="1:12" x14ac:dyDescent="0.25">
      <c r="A105" t="s">
        <v>78</v>
      </c>
      <c r="B105" s="2">
        <v>46126</v>
      </c>
      <c r="C105" t="s">
        <v>21</v>
      </c>
      <c r="D105" t="s">
        <v>159</v>
      </c>
      <c r="E105" s="5">
        <v>170200000</v>
      </c>
      <c r="F105" s="5">
        <v>172700000</v>
      </c>
      <c r="G105" s="5">
        <v>2500000</v>
      </c>
      <c r="H105" s="5">
        <v>17020000</v>
      </c>
      <c r="I105" s="5">
        <v>17270000</v>
      </c>
      <c r="J105" s="5">
        <v>170500000</v>
      </c>
      <c r="K105" s="5">
        <v>173000000</v>
      </c>
      <c r="L105" s="3">
        <v>0.97916666666666663</v>
      </c>
    </row>
    <row r="106" spans="1:12" x14ac:dyDescent="0.25">
      <c r="A106" t="s">
        <v>79</v>
      </c>
      <c r="B106" s="2">
        <v>46127</v>
      </c>
      <c r="C106" t="s">
        <v>22</v>
      </c>
      <c r="D106" t="s">
        <v>159</v>
      </c>
      <c r="E106" s="5">
        <v>169700000</v>
      </c>
      <c r="F106" s="5">
        <v>173200000</v>
      </c>
      <c r="G106" s="5">
        <v>3500000</v>
      </c>
      <c r="H106" s="5">
        <v>16970000</v>
      </c>
      <c r="I106" s="5">
        <v>17320000</v>
      </c>
      <c r="J106" s="5">
        <v>170000000</v>
      </c>
      <c r="K106" s="5">
        <v>173500000</v>
      </c>
      <c r="L106" s="3">
        <v>0.97916666666666663</v>
      </c>
    </row>
    <row r="107" spans="1:12" x14ac:dyDescent="0.25">
      <c r="A107" t="s">
        <v>80</v>
      </c>
      <c r="B107" s="2">
        <v>46128</v>
      </c>
      <c r="C107" t="s">
        <v>16</v>
      </c>
      <c r="D107" t="s">
        <v>159</v>
      </c>
      <c r="E107" s="5">
        <v>167200000</v>
      </c>
      <c r="F107" s="5">
        <v>170700000</v>
      </c>
      <c r="G107" s="5">
        <v>3500000</v>
      </c>
      <c r="H107" s="5">
        <v>16720000</v>
      </c>
      <c r="I107" s="5">
        <v>17070000</v>
      </c>
      <c r="J107" s="5">
        <v>167700000</v>
      </c>
      <c r="K107" s="5">
        <v>171200000</v>
      </c>
      <c r="L107" s="3">
        <v>0.97916666666666663</v>
      </c>
    </row>
    <row r="108" spans="1:12" x14ac:dyDescent="0.25">
      <c r="A108" t="s">
        <v>81</v>
      </c>
      <c r="B108" s="2">
        <v>46129</v>
      </c>
      <c r="C108" t="s">
        <v>17</v>
      </c>
      <c r="D108" t="s">
        <v>159</v>
      </c>
      <c r="E108" s="5">
        <v>167000000</v>
      </c>
      <c r="F108" s="5">
        <v>170500000</v>
      </c>
      <c r="G108" s="5">
        <v>3500000</v>
      </c>
      <c r="H108" s="5">
        <v>16700000</v>
      </c>
      <c r="I108" s="5">
        <v>17050000</v>
      </c>
      <c r="J108" s="5">
        <v>167500000</v>
      </c>
      <c r="K108" s="5">
        <v>171000000</v>
      </c>
      <c r="L108" s="3">
        <v>0.97916666666666663</v>
      </c>
    </row>
    <row r="109" spans="1:12" x14ac:dyDescent="0.25">
      <c r="A109" t="s">
        <v>82</v>
      </c>
      <c r="B109" s="2">
        <v>46130</v>
      </c>
      <c r="C109" t="s">
        <v>18</v>
      </c>
      <c r="D109" t="s">
        <v>159</v>
      </c>
      <c r="E109" s="5">
        <v>168000000</v>
      </c>
      <c r="F109" s="5">
        <v>171500000</v>
      </c>
      <c r="G109" s="5">
        <v>3500000</v>
      </c>
      <c r="H109" s="5">
        <v>16800000</v>
      </c>
      <c r="I109" s="5">
        <v>17150000</v>
      </c>
      <c r="J109" s="5">
        <v>168500000</v>
      </c>
      <c r="K109" s="5">
        <v>172000000</v>
      </c>
      <c r="L109" s="3">
        <v>0.39583333333333331</v>
      </c>
    </row>
    <row r="110" spans="1:12" x14ac:dyDescent="0.25">
      <c r="A110" t="s">
        <v>83</v>
      </c>
      <c r="B110" s="2">
        <v>46131</v>
      </c>
      <c r="C110" t="s">
        <v>19</v>
      </c>
      <c r="D110" t="s">
        <v>159</v>
      </c>
      <c r="E110" s="5">
        <v>168000000</v>
      </c>
      <c r="F110" s="5">
        <v>171500000</v>
      </c>
      <c r="G110" s="5">
        <v>3500000</v>
      </c>
      <c r="H110" s="5">
        <v>16800000</v>
      </c>
      <c r="I110" s="5">
        <v>17150000</v>
      </c>
      <c r="J110" s="5">
        <v>168500000</v>
      </c>
      <c r="K110" s="5">
        <v>172000000</v>
      </c>
      <c r="L110" s="3">
        <v>0</v>
      </c>
    </row>
    <row r="111" spans="1:12" x14ac:dyDescent="0.25">
      <c r="A111" t="s">
        <v>84</v>
      </c>
      <c r="B111" s="2">
        <v>46132</v>
      </c>
      <c r="C111" t="s">
        <v>20</v>
      </c>
      <c r="D111" t="s">
        <v>159</v>
      </c>
      <c r="E111" s="5">
        <v>167800000</v>
      </c>
      <c r="F111" s="5">
        <v>170800000</v>
      </c>
      <c r="G111" s="5">
        <v>3000000</v>
      </c>
      <c r="H111" s="5">
        <v>16780000</v>
      </c>
      <c r="I111" s="5">
        <v>17080000</v>
      </c>
      <c r="J111" s="5">
        <v>168300000</v>
      </c>
      <c r="K111" s="5">
        <v>171300000</v>
      </c>
      <c r="L111" s="3">
        <v>0.97916666666666663</v>
      </c>
    </row>
    <row r="112" spans="1:12" x14ac:dyDescent="0.25">
      <c r="A112" t="s">
        <v>85</v>
      </c>
      <c r="B112" s="2">
        <v>46133</v>
      </c>
      <c r="C112" t="s">
        <v>21</v>
      </c>
      <c r="D112" t="s">
        <v>159</v>
      </c>
      <c r="E112" s="5">
        <v>167900000</v>
      </c>
      <c r="F112" s="5">
        <v>170400000</v>
      </c>
      <c r="G112" s="5">
        <v>2500000</v>
      </c>
      <c r="H112" s="5">
        <v>16790000</v>
      </c>
      <c r="I112" s="5">
        <v>17040000</v>
      </c>
      <c r="J112" s="5">
        <v>168100000</v>
      </c>
      <c r="K112" s="5">
        <v>170600000</v>
      </c>
      <c r="L112" s="3">
        <v>0.97916666666666663</v>
      </c>
    </row>
    <row r="113" spans="1:12" x14ac:dyDescent="0.25">
      <c r="A113" t="s">
        <v>86</v>
      </c>
      <c r="B113" s="2">
        <v>46134</v>
      </c>
      <c r="C113" t="s">
        <v>22</v>
      </c>
      <c r="D113" t="s">
        <v>159</v>
      </c>
      <c r="E113" s="5">
        <v>167300000</v>
      </c>
      <c r="F113" s="5">
        <v>169800000</v>
      </c>
      <c r="G113" s="5">
        <v>2500000</v>
      </c>
      <c r="H113" s="5">
        <v>16730000</v>
      </c>
      <c r="I113" s="5">
        <v>16980000</v>
      </c>
      <c r="J113" s="5">
        <v>167500000</v>
      </c>
      <c r="K113" s="5">
        <v>170000000</v>
      </c>
      <c r="L113" s="3">
        <v>0.97916666666666663</v>
      </c>
    </row>
    <row r="114" spans="1:12" x14ac:dyDescent="0.25">
      <c r="A114" t="s">
        <v>87</v>
      </c>
      <c r="B114" s="2">
        <v>46135</v>
      </c>
      <c r="C114" t="s">
        <v>16</v>
      </c>
      <c r="D114" t="s">
        <v>159</v>
      </c>
      <c r="E114" s="5">
        <v>166500000</v>
      </c>
      <c r="F114" s="5">
        <v>169000000</v>
      </c>
      <c r="G114" s="5">
        <v>2500000</v>
      </c>
      <c r="H114" s="5">
        <v>16650000</v>
      </c>
      <c r="I114" s="5">
        <v>16900000</v>
      </c>
      <c r="J114" s="5">
        <v>166700000</v>
      </c>
      <c r="K114" s="5">
        <v>169200000</v>
      </c>
      <c r="L114" s="3">
        <v>0.97916666666666663</v>
      </c>
    </row>
    <row r="115" spans="1:12" x14ac:dyDescent="0.25">
      <c r="A115" t="s">
        <v>88</v>
      </c>
      <c r="B115" s="2">
        <v>46136</v>
      </c>
      <c r="C115" t="s">
        <v>17</v>
      </c>
      <c r="D115" t="s">
        <v>159</v>
      </c>
      <c r="E115" s="5">
        <v>165000000</v>
      </c>
      <c r="F115" s="5">
        <v>167500000</v>
      </c>
      <c r="G115" s="5">
        <v>2500000</v>
      </c>
      <c r="H115" s="5">
        <v>16500000</v>
      </c>
      <c r="I115" s="5">
        <v>16750000</v>
      </c>
      <c r="J115" s="5">
        <v>165500000</v>
      </c>
      <c r="K115" s="5">
        <v>168000000</v>
      </c>
      <c r="L115" s="3">
        <v>0.97916666666666663</v>
      </c>
    </row>
    <row r="116" spans="1:12" x14ac:dyDescent="0.25">
      <c r="A116" t="s">
        <v>89</v>
      </c>
      <c r="B116" s="2">
        <v>46137</v>
      </c>
      <c r="C116" t="s">
        <v>18</v>
      </c>
      <c r="D116" t="s">
        <v>159</v>
      </c>
      <c r="E116" s="5">
        <v>165800000</v>
      </c>
      <c r="F116" s="5">
        <v>168300000</v>
      </c>
      <c r="G116" s="5">
        <v>2500000</v>
      </c>
      <c r="H116" s="5">
        <v>16580000</v>
      </c>
      <c r="I116" s="5">
        <v>16830000</v>
      </c>
      <c r="J116" s="5">
        <v>166300000</v>
      </c>
      <c r="K116" s="5">
        <v>168800000</v>
      </c>
      <c r="L116" s="3">
        <v>0.39583333333333331</v>
      </c>
    </row>
    <row r="117" spans="1:12" x14ac:dyDescent="0.25">
      <c r="A117" t="s">
        <v>90</v>
      </c>
      <c r="B117" s="2">
        <v>46138</v>
      </c>
      <c r="C117" t="s">
        <v>19</v>
      </c>
      <c r="D117" t="s">
        <v>159</v>
      </c>
      <c r="E117" s="5">
        <v>165800000</v>
      </c>
      <c r="F117" s="5">
        <v>168300000</v>
      </c>
      <c r="G117" s="5">
        <v>2500000</v>
      </c>
      <c r="H117" s="5">
        <v>16580000</v>
      </c>
      <c r="I117" s="5">
        <v>16830000</v>
      </c>
      <c r="J117" s="5">
        <v>166300000</v>
      </c>
      <c r="K117" s="5">
        <v>168800000</v>
      </c>
      <c r="L117" s="3">
        <v>0</v>
      </c>
    </row>
    <row r="118" spans="1:12" x14ac:dyDescent="0.25">
      <c r="A118" t="s">
        <v>91</v>
      </c>
      <c r="B118" s="2">
        <v>46139</v>
      </c>
      <c r="C118" t="s">
        <v>20</v>
      </c>
      <c r="D118" t="s">
        <v>159</v>
      </c>
      <c r="E118" s="5">
        <v>165800000</v>
      </c>
      <c r="F118" s="5">
        <v>168300000</v>
      </c>
      <c r="G118" s="5">
        <v>2500000</v>
      </c>
      <c r="H118" s="5">
        <v>16580000</v>
      </c>
      <c r="I118" s="5">
        <v>16830000</v>
      </c>
      <c r="J118" s="5">
        <v>166300000</v>
      </c>
      <c r="K118" s="5">
        <v>168800000</v>
      </c>
      <c r="L118" s="3">
        <v>0.97916666666666663</v>
      </c>
    </row>
    <row r="119" spans="1:12" x14ac:dyDescent="0.25">
      <c r="A119" t="s">
        <v>92</v>
      </c>
      <c r="B119" s="2">
        <v>46140</v>
      </c>
      <c r="C119" t="s">
        <v>21</v>
      </c>
      <c r="D119" t="s">
        <v>159</v>
      </c>
      <c r="E119" s="5">
        <v>165800000</v>
      </c>
      <c r="F119" s="5">
        <v>168300000</v>
      </c>
      <c r="G119" s="5">
        <v>2500000</v>
      </c>
      <c r="H119" s="5">
        <v>16580000</v>
      </c>
      <c r="I119" s="5">
        <v>16830000</v>
      </c>
      <c r="J119" s="5">
        <v>166300000</v>
      </c>
      <c r="K119" s="5">
        <v>168800000</v>
      </c>
      <c r="L119" s="3">
        <v>0.97916666666666663</v>
      </c>
    </row>
    <row r="120" spans="1:12" x14ac:dyDescent="0.25">
      <c r="A120" t="s">
        <v>93</v>
      </c>
      <c r="B120" s="2">
        <v>46141</v>
      </c>
      <c r="C120" t="s">
        <v>22</v>
      </c>
      <c r="D120" t="s">
        <v>159</v>
      </c>
      <c r="E120" s="5">
        <v>165800000</v>
      </c>
      <c r="F120" s="5">
        <v>168300000</v>
      </c>
      <c r="G120" s="5">
        <v>2500000</v>
      </c>
      <c r="H120" s="5">
        <v>16580000</v>
      </c>
      <c r="I120" s="5">
        <v>16830000</v>
      </c>
      <c r="J120" s="5">
        <v>166300000</v>
      </c>
      <c r="K120" s="5">
        <v>168800000</v>
      </c>
      <c r="L120" s="3">
        <v>0.97916666666666663</v>
      </c>
    </row>
    <row r="121" spans="1:12" x14ac:dyDescent="0.25">
      <c r="A121" t="s">
        <v>94</v>
      </c>
      <c r="B121" s="2">
        <v>46142</v>
      </c>
      <c r="C121" t="s">
        <v>16</v>
      </c>
      <c r="D121" t="s">
        <v>159</v>
      </c>
      <c r="E121" s="5">
        <v>162500000</v>
      </c>
      <c r="F121" s="5">
        <v>165500000</v>
      </c>
      <c r="G121" s="5">
        <v>3000000</v>
      </c>
      <c r="H121" s="5">
        <v>16250000</v>
      </c>
      <c r="I121" s="5">
        <v>16550000</v>
      </c>
      <c r="J121" s="5">
        <v>163000000</v>
      </c>
      <c r="K121" s="5">
        <v>166000000</v>
      </c>
      <c r="L121" s="3">
        <v>0.97916666666666663</v>
      </c>
    </row>
    <row r="122" spans="1:12" x14ac:dyDescent="0.25">
      <c r="A122" s="2">
        <v>46027</v>
      </c>
      <c r="B122" s="2">
        <v>46143</v>
      </c>
      <c r="C122" t="s">
        <v>17</v>
      </c>
      <c r="D122" t="s">
        <v>159</v>
      </c>
      <c r="E122" s="5">
        <v>162500000</v>
      </c>
      <c r="F122" s="5">
        <v>165500000</v>
      </c>
      <c r="G122" s="5">
        <v>3000000</v>
      </c>
      <c r="H122" s="5">
        <v>16250000</v>
      </c>
      <c r="I122" s="5">
        <v>16550000</v>
      </c>
      <c r="J122" s="5">
        <v>163000000</v>
      </c>
      <c r="K122" s="5">
        <v>166000000</v>
      </c>
      <c r="L122" s="3">
        <v>0.97916666666666663</v>
      </c>
    </row>
    <row r="123" spans="1:12" x14ac:dyDescent="0.25">
      <c r="A123" s="2">
        <v>46058</v>
      </c>
      <c r="B123" s="2">
        <v>46144</v>
      </c>
      <c r="C123" t="s">
        <v>18</v>
      </c>
      <c r="D123" t="s">
        <v>159</v>
      </c>
      <c r="E123" s="5">
        <v>162500000</v>
      </c>
      <c r="F123" s="5">
        <v>165500000</v>
      </c>
      <c r="G123" s="5">
        <v>3000000</v>
      </c>
      <c r="H123" s="5">
        <v>16250000</v>
      </c>
      <c r="I123" s="5">
        <v>16550000</v>
      </c>
      <c r="J123" s="5">
        <v>163000000</v>
      </c>
      <c r="K123" s="5">
        <v>166000000</v>
      </c>
      <c r="L123" s="3">
        <v>0.1875</v>
      </c>
    </row>
    <row r="124" spans="1:12" x14ac:dyDescent="0.25">
      <c r="A124" s="2">
        <v>46086</v>
      </c>
      <c r="B124" s="2">
        <v>46145</v>
      </c>
      <c r="C124" t="s">
        <v>19</v>
      </c>
      <c r="D124" t="s">
        <v>159</v>
      </c>
      <c r="E124" s="5">
        <v>162500000</v>
      </c>
      <c r="F124" s="5">
        <v>165500000</v>
      </c>
      <c r="G124" s="5">
        <v>3000000</v>
      </c>
      <c r="H124" s="5">
        <v>16250000</v>
      </c>
      <c r="I124" s="5">
        <v>16550000</v>
      </c>
      <c r="J124" s="5">
        <v>163000000</v>
      </c>
      <c r="K124" s="5">
        <v>166000000</v>
      </c>
      <c r="L124" s="3">
        <v>0</v>
      </c>
    </row>
    <row r="125" spans="1:12" x14ac:dyDescent="0.25">
      <c r="A125" s="2">
        <v>46117</v>
      </c>
      <c r="B125" s="2">
        <v>46146</v>
      </c>
      <c r="C125" t="s">
        <v>20</v>
      </c>
      <c r="D125" t="s">
        <v>159</v>
      </c>
      <c r="E125" s="5">
        <v>162800000</v>
      </c>
      <c r="F125" s="5">
        <v>165800000</v>
      </c>
      <c r="G125" s="5">
        <v>3000000</v>
      </c>
      <c r="H125" s="5">
        <v>16280000</v>
      </c>
      <c r="I125" s="5">
        <v>16580000</v>
      </c>
      <c r="J125" s="5">
        <v>163300000</v>
      </c>
      <c r="K125" s="5">
        <v>166300000</v>
      </c>
      <c r="L125" s="3">
        <v>0.97916666666666663</v>
      </c>
    </row>
    <row r="126" spans="1:12" x14ac:dyDescent="0.25">
      <c r="A126" s="2">
        <v>46147</v>
      </c>
      <c r="B126" s="2">
        <v>46147</v>
      </c>
      <c r="C126" t="s">
        <v>21</v>
      </c>
      <c r="D126" t="s">
        <v>159</v>
      </c>
      <c r="E126" s="5">
        <v>161500000</v>
      </c>
      <c r="F126" s="5">
        <v>164500000</v>
      </c>
      <c r="G126" s="5">
        <v>3000000</v>
      </c>
      <c r="H126" s="5">
        <v>16150000</v>
      </c>
      <c r="I126" s="5">
        <v>16450000</v>
      </c>
      <c r="J126" s="5">
        <v>162000000</v>
      </c>
      <c r="K126" s="5">
        <v>165000000</v>
      </c>
      <c r="L126" s="3">
        <v>0.97916666666666663</v>
      </c>
    </row>
    <row r="127" spans="1:12" x14ac:dyDescent="0.25">
      <c r="A127" s="2">
        <v>46178</v>
      </c>
      <c r="B127" s="2">
        <v>46148</v>
      </c>
      <c r="C127" t="s">
        <v>22</v>
      </c>
      <c r="D127" t="s">
        <v>159</v>
      </c>
      <c r="E127" s="5">
        <v>162500000</v>
      </c>
      <c r="F127" s="5">
        <v>165500000</v>
      </c>
      <c r="G127" s="5">
        <v>3000000</v>
      </c>
      <c r="H127" s="5">
        <v>16250000</v>
      </c>
      <c r="I127" s="5">
        <v>16550000</v>
      </c>
      <c r="J127" s="5">
        <v>163000000</v>
      </c>
      <c r="K127" s="5">
        <v>166000000</v>
      </c>
      <c r="L127" s="3">
        <v>0.97916666666666663</v>
      </c>
    </row>
    <row r="128" spans="1:12" x14ac:dyDescent="0.25">
      <c r="A128" s="2">
        <v>46208</v>
      </c>
      <c r="B128" s="2">
        <v>46149</v>
      </c>
      <c r="C128" t="s">
        <v>16</v>
      </c>
      <c r="D128" t="s">
        <v>159</v>
      </c>
      <c r="E128" s="5">
        <v>164000000</v>
      </c>
      <c r="F128" s="5">
        <v>167000000</v>
      </c>
      <c r="G128" s="5">
        <v>3000000</v>
      </c>
      <c r="H128" s="5">
        <v>16400000</v>
      </c>
      <c r="I128" s="5">
        <v>16700000</v>
      </c>
      <c r="J128" s="5">
        <v>164500000</v>
      </c>
      <c r="K128" s="5">
        <v>167500000</v>
      </c>
      <c r="L128" s="3">
        <v>0.97916666666666663</v>
      </c>
    </row>
    <row r="129" spans="1:12" x14ac:dyDescent="0.25">
      <c r="A129" s="2">
        <v>46239</v>
      </c>
      <c r="B129" s="2">
        <v>46150</v>
      </c>
      <c r="C129" t="s">
        <v>17</v>
      </c>
      <c r="D129" t="s">
        <v>159</v>
      </c>
      <c r="E129" s="5">
        <v>164000000</v>
      </c>
      <c r="F129" s="5">
        <v>167000000</v>
      </c>
      <c r="G129" s="5">
        <v>3000000</v>
      </c>
      <c r="H129" s="5">
        <v>16400000</v>
      </c>
      <c r="I129" s="5">
        <v>16700000</v>
      </c>
      <c r="J129" s="5">
        <v>164500000</v>
      </c>
      <c r="K129" s="5">
        <v>167500000</v>
      </c>
      <c r="L129" s="3">
        <v>0.97916666666666663</v>
      </c>
    </row>
    <row r="130" spans="1:12" x14ac:dyDescent="0.25">
      <c r="A130" s="2">
        <v>46270</v>
      </c>
      <c r="B130" s="2">
        <v>46151</v>
      </c>
      <c r="C130" t="s">
        <v>18</v>
      </c>
      <c r="D130" t="s">
        <v>159</v>
      </c>
      <c r="E130" s="5">
        <v>164000000</v>
      </c>
      <c r="F130" s="5">
        <v>167000000</v>
      </c>
      <c r="G130" s="5">
        <v>3000000</v>
      </c>
      <c r="H130" s="5">
        <v>16400000</v>
      </c>
      <c r="I130" s="5">
        <v>16700000</v>
      </c>
      <c r="J130" s="5">
        <v>164500000</v>
      </c>
      <c r="K130" s="5">
        <v>167500000</v>
      </c>
      <c r="L130" s="3">
        <v>0.1875</v>
      </c>
    </row>
    <row r="131" spans="1:12" x14ac:dyDescent="0.25">
      <c r="A131" s="2">
        <v>46300</v>
      </c>
      <c r="B131" s="2">
        <v>46152</v>
      </c>
      <c r="C131" t="s">
        <v>19</v>
      </c>
      <c r="D131" t="s">
        <v>159</v>
      </c>
      <c r="E131" s="5">
        <v>164000000</v>
      </c>
      <c r="F131" s="5">
        <v>167000000</v>
      </c>
      <c r="G131" s="5">
        <v>3000000</v>
      </c>
      <c r="H131" s="5">
        <v>16400000</v>
      </c>
      <c r="I131" s="5">
        <v>16700000</v>
      </c>
      <c r="J131" s="5">
        <v>164500000</v>
      </c>
      <c r="K131" s="5">
        <v>167500000</v>
      </c>
      <c r="L131" s="3">
        <v>0</v>
      </c>
    </row>
    <row r="132" spans="1:12" x14ac:dyDescent="0.25">
      <c r="A132" s="2">
        <v>46331</v>
      </c>
      <c r="B132" s="2">
        <v>46153</v>
      </c>
      <c r="C132" t="s">
        <v>20</v>
      </c>
      <c r="D132" t="s">
        <v>159</v>
      </c>
      <c r="E132" s="5">
        <v>161700000</v>
      </c>
      <c r="F132" s="5">
        <v>164700000</v>
      </c>
      <c r="G132" s="5">
        <v>3000000</v>
      </c>
      <c r="H132" s="5">
        <v>16170000</v>
      </c>
      <c r="I132" s="5">
        <v>16470000</v>
      </c>
      <c r="J132" s="5">
        <v>162200000</v>
      </c>
      <c r="K132" s="5">
        <v>165200000</v>
      </c>
      <c r="L132" s="3">
        <v>0.97916666666666663</v>
      </c>
    </row>
    <row r="133" spans="1:12" x14ac:dyDescent="0.25">
      <c r="A133" s="2">
        <v>46361</v>
      </c>
      <c r="B133" s="2">
        <v>46154</v>
      </c>
      <c r="C133" t="s">
        <v>21</v>
      </c>
      <c r="D133" t="s">
        <v>159</v>
      </c>
      <c r="E133" s="5">
        <v>162300000</v>
      </c>
      <c r="F133" s="5">
        <v>165300000</v>
      </c>
      <c r="G133" s="5">
        <v>3000000</v>
      </c>
      <c r="H133" s="5">
        <v>16230000</v>
      </c>
      <c r="I133" s="5">
        <v>16530000</v>
      </c>
      <c r="J133" s="5">
        <v>162500000</v>
      </c>
      <c r="K133" s="5">
        <v>165500000</v>
      </c>
      <c r="L133" s="3">
        <v>0.97916666666666663</v>
      </c>
    </row>
    <row r="134" spans="1:12" x14ac:dyDescent="0.25">
      <c r="A134" t="s">
        <v>95</v>
      </c>
      <c r="B134" s="2">
        <v>46155</v>
      </c>
      <c r="C134" t="s">
        <v>22</v>
      </c>
      <c r="D134" t="s">
        <v>159</v>
      </c>
      <c r="E134" s="5">
        <v>161800000</v>
      </c>
      <c r="F134" s="5">
        <v>164800000</v>
      </c>
      <c r="G134" s="5">
        <v>3000000</v>
      </c>
      <c r="H134" s="5">
        <v>16180000</v>
      </c>
      <c r="I134" s="5">
        <v>16480000</v>
      </c>
      <c r="J134" s="5">
        <v>162000000</v>
      </c>
      <c r="K134" s="5">
        <v>165000000</v>
      </c>
      <c r="L134" s="3">
        <v>0.97916666666666663</v>
      </c>
    </row>
    <row r="135" spans="1:12" x14ac:dyDescent="0.25">
      <c r="A135" t="s">
        <v>96</v>
      </c>
      <c r="B135" s="2">
        <v>46156</v>
      </c>
      <c r="C135" t="s">
        <v>16</v>
      </c>
      <c r="D135" t="s">
        <v>159</v>
      </c>
      <c r="E135" s="5">
        <v>161800000</v>
      </c>
      <c r="F135" s="5">
        <v>164800000</v>
      </c>
      <c r="G135" s="5">
        <v>3000000</v>
      </c>
      <c r="H135" s="5">
        <v>16180000</v>
      </c>
      <c r="I135" s="5">
        <v>16480000</v>
      </c>
      <c r="J135" s="5">
        <v>162000000</v>
      </c>
      <c r="K135" s="5">
        <v>165000000</v>
      </c>
      <c r="L135" s="3">
        <v>0.97916666666666663</v>
      </c>
    </row>
    <row r="136" spans="1:12" x14ac:dyDescent="0.25">
      <c r="A136" t="s">
        <v>97</v>
      </c>
      <c r="B136" s="2">
        <v>46157</v>
      </c>
      <c r="C136" t="s">
        <v>17</v>
      </c>
      <c r="D136" t="s">
        <v>159</v>
      </c>
      <c r="E136" s="5">
        <v>160800000</v>
      </c>
      <c r="F136" s="5">
        <v>163800000</v>
      </c>
      <c r="G136" s="5">
        <v>3000000</v>
      </c>
      <c r="H136" s="5">
        <v>16080000</v>
      </c>
      <c r="I136" s="5">
        <v>16380000</v>
      </c>
      <c r="J136" s="5">
        <v>161000000</v>
      </c>
      <c r="K136" s="5">
        <v>164000000</v>
      </c>
      <c r="L136" s="3">
        <v>0.97916666666666663</v>
      </c>
    </row>
    <row r="137" spans="1:12" x14ac:dyDescent="0.25">
      <c r="A137" t="s">
        <v>98</v>
      </c>
      <c r="B137" s="2">
        <v>46158</v>
      </c>
      <c r="C137" t="s">
        <v>18</v>
      </c>
      <c r="D137" t="s">
        <v>159</v>
      </c>
      <c r="E137" s="5">
        <v>160300000</v>
      </c>
      <c r="F137" s="5">
        <v>163300000</v>
      </c>
      <c r="G137" s="5">
        <v>3000000</v>
      </c>
      <c r="H137" s="5">
        <v>16030000</v>
      </c>
      <c r="I137" s="5">
        <v>16330000</v>
      </c>
      <c r="J137" s="5">
        <v>160500000</v>
      </c>
      <c r="K137" s="5">
        <v>163500000</v>
      </c>
      <c r="L137" s="3">
        <v>0.47916666666666669</v>
      </c>
    </row>
    <row r="138" spans="1:12" x14ac:dyDescent="0.25">
      <c r="A138" t="s">
        <v>99</v>
      </c>
      <c r="B138" s="2">
        <v>46159</v>
      </c>
      <c r="C138" t="s">
        <v>19</v>
      </c>
      <c r="D138" t="s">
        <v>159</v>
      </c>
      <c r="E138" s="5">
        <v>160300000</v>
      </c>
      <c r="F138" s="5">
        <v>163300000</v>
      </c>
      <c r="G138" s="5">
        <v>3000000</v>
      </c>
      <c r="H138" s="5">
        <v>16030000</v>
      </c>
      <c r="I138" s="5">
        <v>16330000</v>
      </c>
      <c r="J138" s="5">
        <v>160500000</v>
      </c>
      <c r="K138" s="5">
        <v>163500000</v>
      </c>
      <c r="L138" s="3">
        <v>0</v>
      </c>
    </row>
    <row r="139" spans="1:12" x14ac:dyDescent="0.25">
      <c r="A139" t="s">
        <v>100</v>
      </c>
      <c r="B139" s="2">
        <v>46160</v>
      </c>
      <c r="C139" t="s">
        <v>20</v>
      </c>
      <c r="D139" t="s">
        <v>159</v>
      </c>
      <c r="E139" s="5">
        <v>160300000</v>
      </c>
      <c r="F139" s="5">
        <v>163300000</v>
      </c>
      <c r="G139" s="5">
        <v>3000000</v>
      </c>
      <c r="H139" s="5">
        <v>16030000</v>
      </c>
      <c r="I139" s="5">
        <v>16330000</v>
      </c>
      <c r="J139" s="5">
        <v>161300000</v>
      </c>
      <c r="K139" s="5">
        <v>163800000</v>
      </c>
      <c r="L139" s="3">
        <v>0.97916666666666663</v>
      </c>
    </row>
    <row r="140" spans="1:12" x14ac:dyDescent="0.25">
      <c r="A140" t="s">
        <v>101</v>
      </c>
      <c r="B140" s="2">
        <v>46161</v>
      </c>
      <c r="C140" t="s">
        <v>21</v>
      </c>
      <c r="D140" t="s">
        <v>159</v>
      </c>
      <c r="E140" s="5">
        <v>160300000</v>
      </c>
      <c r="F140" s="5">
        <v>163300000</v>
      </c>
      <c r="G140" s="5">
        <v>3000000</v>
      </c>
      <c r="H140" s="5">
        <v>16030000</v>
      </c>
      <c r="I140" s="5">
        <v>16330000</v>
      </c>
      <c r="J140" s="5">
        <v>161000000</v>
      </c>
      <c r="K140" s="5">
        <v>163500000</v>
      </c>
      <c r="L140" s="3">
        <v>0.97916666666666663</v>
      </c>
    </row>
    <row r="141" spans="1:12" x14ac:dyDescent="0.25">
      <c r="A141" t="s">
        <v>102</v>
      </c>
      <c r="B141" s="2">
        <v>46162</v>
      </c>
      <c r="C141" t="s">
        <v>22</v>
      </c>
      <c r="D141" t="s">
        <v>159</v>
      </c>
      <c r="E141" s="5">
        <v>158000000</v>
      </c>
      <c r="F141" s="5">
        <v>161000000</v>
      </c>
      <c r="G141" s="5">
        <v>3000000</v>
      </c>
      <c r="H141" s="5">
        <v>15800000</v>
      </c>
      <c r="I141" s="5">
        <v>16100000</v>
      </c>
      <c r="J141" s="5">
        <v>159000000</v>
      </c>
      <c r="K141" s="5">
        <v>162000000</v>
      </c>
      <c r="L141" s="3">
        <v>0.97916666666666663</v>
      </c>
    </row>
    <row r="142" spans="1:12" x14ac:dyDescent="0.25">
      <c r="A142" t="s">
        <v>103</v>
      </c>
      <c r="B142" s="2">
        <v>46163</v>
      </c>
      <c r="C142" t="s">
        <v>16</v>
      </c>
      <c r="D142" t="s">
        <v>159</v>
      </c>
      <c r="E142" s="5">
        <v>158900000</v>
      </c>
      <c r="F142" s="5">
        <v>161900000</v>
      </c>
      <c r="G142" s="5">
        <v>3000000</v>
      </c>
      <c r="H142" s="5">
        <v>15890000</v>
      </c>
      <c r="I142" s="5">
        <v>16190000</v>
      </c>
      <c r="J142" s="5">
        <v>159400000</v>
      </c>
      <c r="K142" s="5">
        <v>162400000</v>
      </c>
      <c r="L142" s="3">
        <v>0.97916666666666663</v>
      </c>
    </row>
    <row r="143" spans="1:12" x14ac:dyDescent="0.25">
      <c r="A143" t="s">
        <v>104</v>
      </c>
      <c r="B143" s="2">
        <v>46164</v>
      </c>
      <c r="C143" t="s">
        <v>17</v>
      </c>
      <c r="D143" t="s">
        <v>159</v>
      </c>
      <c r="E143" s="5">
        <v>158500000</v>
      </c>
      <c r="F143" s="5">
        <v>161500000</v>
      </c>
      <c r="G143" s="5">
        <v>3000000</v>
      </c>
      <c r="H143" s="5">
        <v>15850000</v>
      </c>
      <c r="I143" s="5">
        <v>16150000</v>
      </c>
      <c r="J143" s="5">
        <v>159000000</v>
      </c>
      <c r="K143" s="5">
        <v>162000000</v>
      </c>
      <c r="L143" s="3">
        <v>0.97916666666666663</v>
      </c>
    </row>
    <row r="144" spans="1:12" x14ac:dyDescent="0.25">
      <c r="A144" t="s">
        <v>105</v>
      </c>
      <c r="B144" s="2">
        <v>46165</v>
      </c>
      <c r="C144" t="s">
        <v>18</v>
      </c>
      <c r="D144" t="s">
        <v>159</v>
      </c>
      <c r="E144" s="5">
        <v>158000000</v>
      </c>
      <c r="F144" s="5">
        <v>161000000</v>
      </c>
      <c r="G144" s="5">
        <v>3000000</v>
      </c>
      <c r="H144" s="5">
        <v>15800000</v>
      </c>
      <c r="I144" s="5">
        <v>16100000</v>
      </c>
      <c r="J144" s="5">
        <v>158500000</v>
      </c>
      <c r="K144" s="5">
        <v>161500000</v>
      </c>
      <c r="L144" s="3">
        <v>0.39583333333333331</v>
      </c>
    </row>
    <row r="145" spans="1:12" x14ac:dyDescent="0.25">
      <c r="A145" t="s">
        <v>106</v>
      </c>
      <c r="B145" s="2">
        <v>46166</v>
      </c>
      <c r="C145" t="s">
        <v>19</v>
      </c>
      <c r="D145" t="s">
        <v>159</v>
      </c>
      <c r="E145" s="5">
        <v>158000000</v>
      </c>
      <c r="F145" s="5">
        <v>161000000</v>
      </c>
      <c r="G145" s="5">
        <v>3000000</v>
      </c>
      <c r="H145" s="5">
        <v>15800000</v>
      </c>
      <c r="I145" s="5">
        <v>16100000</v>
      </c>
      <c r="J145" s="5">
        <v>158500000</v>
      </c>
      <c r="K145" s="5">
        <v>161500000</v>
      </c>
      <c r="L145" s="3">
        <v>0</v>
      </c>
    </row>
    <row r="146" spans="1:12" x14ac:dyDescent="0.25">
      <c r="A146" t="s">
        <v>107</v>
      </c>
      <c r="B146" s="2">
        <v>46167</v>
      </c>
      <c r="C146" t="s">
        <v>20</v>
      </c>
      <c r="D146" t="s">
        <v>159</v>
      </c>
      <c r="E146" s="5">
        <v>158500000</v>
      </c>
      <c r="F146" s="5">
        <v>161500000</v>
      </c>
      <c r="G146" s="5">
        <v>3000000</v>
      </c>
      <c r="H146" s="5">
        <v>15850000</v>
      </c>
      <c r="I146" s="5">
        <v>16150000</v>
      </c>
      <c r="J146" s="5">
        <v>159000000</v>
      </c>
      <c r="K146" s="5">
        <v>162000000</v>
      </c>
      <c r="L146" s="3">
        <v>0.97916666666666663</v>
      </c>
    </row>
    <row r="147" spans="1:12" x14ac:dyDescent="0.25">
      <c r="A147" t="s">
        <v>108</v>
      </c>
      <c r="B147" s="2">
        <v>46168</v>
      </c>
      <c r="C147" t="s">
        <v>21</v>
      </c>
      <c r="D147" t="s">
        <v>159</v>
      </c>
      <c r="E147" s="5">
        <v>158000000</v>
      </c>
      <c r="F147" s="5">
        <v>161000000</v>
      </c>
      <c r="G147" s="5">
        <v>3000000</v>
      </c>
      <c r="H147" s="5">
        <v>15800000</v>
      </c>
      <c r="I147" s="5">
        <v>16100000</v>
      </c>
      <c r="J147" s="5">
        <v>158500000</v>
      </c>
      <c r="K147" s="5">
        <v>161500000</v>
      </c>
      <c r="L147" s="3">
        <v>0.97916666666666663</v>
      </c>
    </row>
    <row r="148" spans="1:12" x14ac:dyDescent="0.25">
      <c r="A148" t="s">
        <v>109</v>
      </c>
      <c r="B148" s="2">
        <v>46169</v>
      </c>
      <c r="C148" t="s">
        <v>22</v>
      </c>
      <c r="D148" t="s">
        <v>159</v>
      </c>
      <c r="E148" s="5">
        <v>157200000</v>
      </c>
      <c r="F148" s="5">
        <v>160200000</v>
      </c>
      <c r="G148" s="5">
        <v>3000000</v>
      </c>
      <c r="H148" s="5">
        <v>15720000</v>
      </c>
      <c r="I148" s="5">
        <v>16020000</v>
      </c>
      <c r="J148" s="5">
        <v>157700000</v>
      </c>
      <c r="K148" s="5">
        <v>160700000</v>
      </c>
      <c r="L148" s="3">
        <v>0.97916666666666663</v>
      </c>
    </row>
    <row r="149" spans="1:12" x14ac:dyDescent="0.25">
      <c r="A149" t="s">
        <v>110</v>
      </c>
      <c r="B149" s="2">
        <v>46170</v>
      </c>
      <c r="C149" t="s">
        <v>16</v>
      </c>
      <c r="D149" t="s">
        <v>159</v>
      </c>
      <c r="E149" s="5">
        <v>154300000</v>
      </c>
      <c r="F149" s="5">
        <v>157300000</v>
      </c>
      <c r="G149" s="5">
        <v>3000000</v>
      </c>
      <c r="H149" s="5">
        <v>15430000</v>
      </c>
      <c r="I149" s="5">
        <v>15730000</v>
      </c>
      <c r="J149" s="5">
        <v>154500000</v>
      </c>
      <c r="K149" s="5">
        <v>157500000</v>
      </c>
      <c r="L149" s="3">
        <v>0.97916666666666663</v>
      </c>
    </row>
    <row r="150" spans="1:12" x14ac:dyDescent="0.25">
      <c r="A150" t="s">
        <v>111</v>
      </c>
      <c r="B150" s="2">
        <v>46171</v>
      </c>
      <c r="C150" t="s">
        <v>17</v>
      </c>
      <c r="D150" t="s">
        <v>159</v>
      </c>
      <c r="E150" s="5">
        <v>155300000</v>
      </c>
      <c r="F150" s="5">
        <v>158300000</v>
      </c>
      <c r="G150" s="5">
        <v>3000000</v>
      </c>
      <c r="H150" s="5">
        <v>15530000</v>
      </c>
      <c r="I150" s="5">
        <v>15830000</v>
      </c>
      <c r="J150" s="5">
        <v>155500000</v>
      </c>
      <c r="K150" s="5">
        <v>158500000</v>
      </c>
      <c r="L150" s="3">
        <v>0.97916666666666663</v>
      </c>
    </row>
    <row r="151" spans="1:12" x14ac:dyDescent="0.25">
      <c r="A151" t="s">
        <v>112</v>
      </c>
      <c r="B151" s="2">
        <v>46172</v>
      </c>
      <c r="C151" t="s">
        <v>18</v>
      </c>
      <c r="D151" t="s">
        <v>159</v>
      </c>
      <c r="E151" s="5">
        <v>155800000</v>
      </c>
      <c r="F151" s="5">
        <v>158800000</v>
      </c>
      <c r="G151" s="5">
        <v>3000000</v>
      </c>
      <c r="H151" s="5">
        <v>15580000</v>
      </c>
      <c r="I151" s="5">
        <v>15880000</v>
      </c>
      <c r="J151" s="5">
        <v>156000000</v>
      </c>
      <c r="K151" s="5">
        <v>159000000</v>
      </c>
      <c r="L151" s="3">
        <v>0.39583333333333331</v>
      </c>
    </row>
    <row r="152" spans="1:12" x14ac:dyDescent="0.25">
      <c r="A152" t="s">
        <v>113</v>
      </c>
      <c r="B152" s="2">
        <v>46173</v>
      </c>
      <c r="C152" t="s">
        <v>19</v>
      </c>
      <c r="D152" t="s">
        <v>159</v>
      </c>
      <c r="E152" s="5">
        <v>155800000</v>
      </c>
      <c r="F152" s="5">
        <v>158800000</v>
      </c>
      <c r="G152" s="5">
        <v>3000000</v>
      </c>
      <c r="H152" s="5">
        <v>15580000</v>
      </c>
      <c r="I152" s="5">
        <v>15880000</v>
      </c>
      <c r="J152" s="5">
        <v>156000000</v>
      </c>
      <c r="K152" s="5">
        <v>159000000</v>
      </c>
      <c r="L152" s="3">
        <v>0</v>
      </c>
    </row>
    <row r="153" spans="1:12" x14ac:dyDescent="0.25">
      <c r="A153" s="2">
        <v>46028</v>
      </c>
      <c r="B153" s="2">
        <v>46174</v>
      </c>
      <c r="C153" t="s">
        <v>20</v>
      </c>
      <c r="D153" t="s">
        <v>159</v>
      </c>
      <c r="E153" s="5">
        <v>155300000</v>
      </c>
      <c r="F153" s="5">
        <v>158300000</v>
      </c>
      <c r="G153" s="5">
        <v>3000000</v>
      </c>
      <c r="H153" s="5">
        <v>15530000</v>
      </c>
      <c r="I153" s="5">
        <v>15830000</v>
      </c>
      <c r="J153" s="5">
        <v>155500000</v>
      </c>
      <c r="K153" s="5">
        <v>158500000</v>
      </c>
      <c r="L153" s="3">
        <v>0.97916666666666663</v>
      </c>
    </row>
    <row r="154" spans="1:12" x14ac:dyDescent="0.25">
      <c r="A154" s="2">
        <v>46059</v>
      </c>
      <c r="B154" s="2">
        <v>46175</v>
      </c>
      <c r="C154" t="s">
        <v>21</v>
      </c>
      <c r="D154" t="s">
        <v>159</v>
      </c>
      <c r="E154" s="5">
        <v>154300000</v>
      </c>
      <c r="F154" s="5">
        <v>157300000</v>
      </c>
      <c r="G154" s="5">
        <v>3000000</v>
      </c>
      <c r="H154" s="5">
        <v>15430000</v>
      </c>
      <c r="I154" s="5">
        <v>15730000</v>
      </c>
      <c r="J154" s="5">
        <v>154500000</v>
      </c>
      <c r="K154" s="5">
        <v>157500000</v>
      </c>
      <c r="L154" s="3">
        <v>0.97916666666666663</v>
      </c>
    </row>
    <row r="155" spans="1:12" x14ac:dyDescent="0.25">
      <c r="A155" s="2">
        <v>46087</v>
      </c>
      <c r="B155" s="2">
        <v>46176</v>
      </c>
      <c r="C155" t="s">
        <v>22</v>
      </c>
      <c r="D155" t="s">
        <v>159</v>
      </c>
      <c r="E155" s="5">
        <v>153800000</v>
      </c>
      <c r="F155" s="5">
        <v>156800000</v>
      </c>
      <c r="G155" s="5">
        <v>3000000</v>
      </c>
      <c r="H155" s="5">
        <v>15380000</v>
      </c>
      <c r="I155" s="5">
        <v>15680000</v>
      </c>
      <c r="J155" s="5">
        <v>154000000</v>
      </c>
      <c r="K155" s="5">
        <v>157000000</v>
      </c>
      <c r="L155" s="3">
        <v>0.97916666666666663</v>
      </c>
    </row>
    <row r="156" spans="1:12" x14ac:dyDescent="0.25">
      <c r="A156" s="2">
        <v>46118</v>
      </c>
      <c r="B156" s="2">
        <v>46177</v>
      </c>
      <c r="C156" t="s">
        <v>16</v>
      </c>
      <c r="D156" t="s">
        <v>159</v>
      </c>
      <c r="E156" s="5">
        <v>152800000</v>
      </c>
      <c r="F156" s="5">
        <v>155800000</v>
      </c>
      <c r="G156" s="5">
        <v>3000000</v>
      </c>
      <c r="H156" s="5">
        <v>15280000</v>
      </c>
      <c r="I156" s="5">
        <v>15580000</v>
      </c>
      <c r="J156" s="5">
        <v>153000000</v>
      </c>
      <c r="K156" s="5">
        <v>156000000</v>
      </c>
      <c r="L156" s="3">
        <v>0.97916666666666663</v>
      </c>
    </row>
    <row r="157" spans="1:12" x14ac:dyDescent="0.25">
      <c r="A157" s="2">
        <v>46148</v>
      </c>
      <c r="B157" s="2">
        <v>46178</v>
      </c>
      <c r="C157" t="s">
        <v>17</v>
      </c>
      <c r="D157" t="s">
        <v>159</v>
      </c>
      <c r="E157" s="5">
        <v>149000000</v>
      </c>
      <c r="F157" s="5">
        <v>153000000</v>
      </c>
      <c r="G157" s="5">
        <v>4000000</v>
      </c>
      <c r="H157" s="5">
        <v>14900000</v>
      </c>
      <c r="I157" s="5">
        <v>15300000</v>
      </c>
      <c r="J157" s="5">
        <v>149200000</v>
      </c>
      <c r="K157" s="5">
        <v>153200000</v>
      </c>
      <c r="L157" s="3">
        <v>0.97916666666666663</v>
      </c>
    </row>
    <row r="158" spans="1:12" x14ac:dyDescent="0.25">
      <c r="A158" s="2">
        <v>46179</v>
      </c>
      <c r="B158" s="2">
        <v>46179</v>
      </c>
      <c r="C158" t="s">
        <v>18</v>
      </c>
      <c r="D158" t="s">
        <v>159</v>
      </c>
      <c r="E158" s="5">
        <v>146000000</v>
      </c>
      <c r="F158" s="5">
        <v>150000000</v>
      </c>
      <c r="G158" s="5">
        <v>4000000</v>
      </c>
      <c r="H158" s="5">
        <v>14600000</v>
      </c>
      <c r="I158" s="5">
        <v>15000000</v>
      </c>
      <c r="J158" s="5">
        <v>146200000</v>
      </c>
      <c r="K158" s="5">
        <v>150200000</v>
      </c>
      <c r="L158" s="3">
        <v>0.39583333333333331</v>
      </c>
    </row>
    <row r="159" spans="1:12" x14ac:dyDescent="0.25">
      <c r="A159" s="2">
        <v>46209</v>
      </c>
      <c r="B159" s="2">
        <v>46180</v>
      </c>
      <c r="C159" t="s">
        <v>19</v>
      </c>
      <c r="D159" t="s">
        <v>159</v>
      </c>
      <c r="E159" s="5">
        <v>146000000</v>
      </c>
      <c r="F159" s="5">
        <v>150000000</v>
      </c>
      <c r="G159" s="5">
        <v>4000000</v>
      </c>
      <c r="H159" s="5">
        <v>14600000</v>
      </c>
      <c r="I159" s="5">
        <v>15000000</v>
      </c>
      <c r="J159" s="5">
        <v>146200000</v>
      </c>
      <c r="K159" s="5">
        <v>150200000</v>
      </c>
      <c r="L159" s="3">
        <v>0</v>
      </c>
    </row>
    <row r="160" spans="1:12" x14ac:dyDescent="0.25">
      <c r="A160" s="2">
        <v>46240</v>
      </c>
      <c r="B160" s="2">
        <v>46181</v>
      </c>
      <c r="C160" t="s">
        <v>20</v>
      </c>
      <c r="D160" t="s">
        <v>159</v>
      </c>
      <c r="E160" s="5">
        <v>138600000</v>
      </c>
      <c r="F160" s="5">
        <v>143600000</v>
      </c>
      <c r="G160" s="5">
        <v>5000000</v>
      </c>
      <c r="H160" s="5">
        <v>13860000</v>
      </c>
      <c r="I160" s="5">
        <v>14360000</v>
      </c>
      <c r="J160" s="5">
        <v>138800000</v>
      </c>
      <c r="K160" s="5">
        <v>143800000</v>
      </c>
      <c r="L160" s="3">
        <v>0.97916666666666663</v>
      </c>
    </row>
    <row r="161" spans="1:12" x14ac:dyDescent="0.25">
      <c r="A161" s="2">
        <v>46271</v>
      </c>
      <c r="B161" s="2">
        <v>46182</v>
      </c>
      <c r="C161" t="s">
        <v>21</v>
      </c>
      <c r="D161" t="s">
        <v>159</v>
      </c>
      <c r="E161" s="5">
        <v>138600000</v>
      </c>
      <c r="F161" s="5">
        <v>143600000</v>
      </c>
      <c r="G161" s="5">
        <v>5000000</v>
      </c>
      <c r="H161" s="5">
        <v>13860000</v>
      </c>
      <c r="I161" s="5">
        <v>14360000</v>
      </c>
      <c r="J161" s="5">
        <v>138800000</v>
      </c>
      <c r="K161" s="5">
        <v>143800000</v>
      </c>
      <c r="L161" s="3">
        <v>0.97916666666666663</v>
      </c>
    </row>
    <row r="162" spans="1:12" x14ac:dyDescent="0.25">
      <c r="A162" s="2">
        <v>46301</v>
      </c>
      <c r="B162" s="2">
        <v>46183</v>
      </c>
      <c r="C162" t="s">
        <v>22</v>
      </c>
      <c r="D162" t="s">
        <v>159</v>
      </c>
      <c r="E162" s="5">
        <v>133200000</v>
      </c>
      <c r="F162" s="5">
        <v>138200000</v>
      </c>
      <c r="G162" s="5">
        <v>5000000</v>
      </c>
      <c r="H162" s="5">
        <v>13320000</v>
      </c>
      <c r="I162" s="5">
        <v>13820000</v>
      </c>
      <c r="J162" s="5">
        <v>133300000</v>
      </c>
      <c r="K162" s="5">
        <v>138300000</v>
      </c>
      <c r="L162" s="3">
        <v>0.97916666666666663</v>
      </c>
    </row>
    <row r="163" spans="1:12" x14ac:dyDescent="0.25">
      <c r="A163" s="2">
        <v>46332</v>
      </c>
      <c r="B163" s="2">
        <v>46184</v>
      </c>
      <c r="C163" t="s">
        <v>16</v>
      </c>
      <c r="D163" t="s">
        <v>159</v>
      </c>
      <c r="E163" s="5">
        <v>133300000</v>
      </c>
      <c r="F163" s="5">
        <v>138300000</v>
      </c>
      <c r="G163" s="5">
        <v>5000000</v>
      </c>
      <c r="H163" s="5">
        <v>13330000</v>
      </c>
      <c r="I163" s="5">
        <v>13830000</v>
      </c>
      <c r="J163" s="5">
        <v>133400000</v>
      </c>
      <c r="K163" s="5">
        <v>138400000</v>
      </c>
      <c r="L163" s="3">
        <v>0.97916666666666663</v>
      </c>
    </row>
    <row r="164" spans="1:12" x14ac:dyDescent="0.25">
      <c r="A164" s="2">
        <v>46362</v>
      </c>
      <c r="B164" s="2">
        <v>46185</v>
      </c>
      <c r="C164" t="s">
        <v>17</v>
      </c>
      <c r="D164" t="s">
        <v>159</v>
      </c>
      <c r="E164" s="5">
        <v>142300000</v>
      </c>
      <c r="F164" s="5">
        <v>145300000</v>
      </c>
      <c r="G164" s="5">
        <v>3000000</v>
      </c>
      <c r="H164" s="5">
        <v>14230000</v>
      </c>
      <c r="I164" s="5">
        <v>14530000</v>
      </c>
      <c r="J164" s="5">
        <v>142400000</v>
      </c>
      <c r="K164" s="5">
        <v>145400000</v>
      </c>
      <c r="L164" s="3">
        <v>0.97916666666666663</v>
      </c>
    </row>
    <row r="165" spans="1:12" x14ac:dyDescent="0.25">
      <c r="A165" t="s">
        <v>114</v>
      </c>
      <c r="B165" s="2">
        <v>46186</v>
      </c>
      <c r="C165" t="s">
        <v>18</v>
      </c>
      <c r="D165" t="s">
        <v>159</v>
      </c>
      <c r="E165" s="5">
        <v>143900000</v>
      </c>
      <c r="F165" s="5">
        <v>146900000</v>
      </c>
      <c r="G165" s="5">
        <v>3000000</v>
      </c>
      <c r="H165" s="5">
        <v>14390000</v>
      </c>
      <c r="I165" s="5">
        <v>14690000</v>
      </c>
      <c r="J165" s="5">
        <v>144000000</v>
      </c>
      <c r="K165" s="5">
        <v>147000000</v>
      </c>
      <c r="L165" s="3">
        <v>0.45833333333333331</v>
      </c>
    </row>
    <row r="166" spans="1:12" x14ac:dyDescent="0.25">
      <c r="A166" t="s">
        <v>115</v>
      </c>
      <c r="B166" s="2">
        <v>46187</v>
      </c>
      <c r="C166" t="s">
        <v>19</v>
      </c>
      <c r="D166" t="s">
        <v>159</v>
      </c>
      <c r="E166" s="5">
        <v>143900000</v>
      </c>
      <c r="F166" s="5">
        <v>146900000</v>
      </c>
      <c r="G166" s="5">
        <v>3000000</v>
      </c>
      <c r="H166" s="5">
        <v>14390000</v>
      </c>
      <c r="I166" s="5">
        <v>14690000</v>
      </c>
      <c r="J166" s="5">
        <v>144000000</v>
      </c>
      <c r="K166" s="5">
        <v>147000000</v>
      </c>
      <c r="L166" s="3">
        <v>0</v>
      </c>
    </row>
    <row r="167" spans="1:12" x14ac:dyDescent="0.25">
      <c r="A167" t="s">
        <v>116</v>
      </c>
      <c r="B167" s="2">
        <v>46188</v>
      </c>
      <c r="C167" t="s">
        <v>20</v>
      </c>
      <c r="D167" t="s">
        <v>159</v>
      </c>
      <c r="E167" s="5">
        <v>147900000</v>
      </c>
      <c r="F167" s="5">
        <v>150400000</v>
      </c>
      <c r="G167" s="5">
        <v>2500000</v>
      </c>
      <c r="H167" s="5">
        <v>14790000</v>
      </c>
      <c r="I167" s="5">
        <v>15040000</v>
      </c>
      <c r="J167" s="5">
        <v>148000000</v>
      </c>
      <c r="K167" s="5">
        <v>150500000</v>
      </c>
      <c r="L167" s="3">
        <v>0.97916666666666663</v>
      </c>
    </row>
    <row r="168" spans="1:12" x14ac:dyDescent="0.25">
      <c r="A168" t="s">
        <v>117</v>
      </c>
      <c r="B168" s="2">
        <v>46189</v>
      </c>
      <c r="C168" t="s">
        <v>21</v>
      </c>
      <c r="D168" t="s">
        <v>159</v>
      </c>
      <c r="E168" s="5">
        <v>149400000</v>
      </c>
      <c r="F168" s="5">
        <v>151400000</v>
      </c>
      <c r="G168" s="5">
        <v>2000000</v>
      </c>
      <c r="H168" s="5">
        <v>14940000</v>
      </c>
      <c r="I168" s="5">
        <v>15140000</v>
      </c>
      <c r="J168" s="5">
        <v>149500000</v>
      </c>
      <c r="K168" s="5">
        <v>151500000</v>
      </c>
      <c r="L168" s="3">
        <v>0.97916666666666663</v>
      </c>
    </row>
    <row r="169" spans="1:12" x14ac:dyDescent="0.25">
      <c r="A169" t="s">
        <v>118</v>
      </c>
      <c r="B169" s="2">
        <v>46190</v>
      </c>
      <c r="C169" t="s">
        <v>22</v>
      </c>
      <c r="D169" t="s">
        <v>159</v>
      </c>
      <c r="E169" s="5">
        <v>148700000</v>
      </c>
      <c r="F169" s="5">
        <v>151200000</v>
      </c>
      <c r="G169" s="5">
        <v>2500000</v>
      </c>
      <c r="H169" s="5">
        <v>14870000</v>
      </c>
      <c r="I169" s="5">
        <v>15120000</v>
      </c>
      <c r="J169" s="5">
        <v>148800000</v>
      </c>
      <c r="K169" s="5">
        <v>151300000</v>
      </c>
      <c r="L169" s="3">
        <v>0.97916666666666663</v>
      </c>
    </row>
    <row r="170" spans="1:12" x14ac:dyDescent="0.25">
      <c r="A170" t="s">
        <v>119</v>
      </c>
      <c r="B170" s="2">
        <v>46191</v>
      </c>
      <c r="C170" t="s">
        <v>16</v>
      </c>
      <c r="D170" t="s">
        <v>159</v>
      </c>
      <c r="E170" s="5">
        <v>148700000</v>
      </c>
      <c r="F170" s="5">
        <v>151200000</v>
      </c>
      <c r="G170" s="5">
        <v>2500000</v>
      </c>
      <c r="H170" s="5">
        <v>14870000</v>
      </c>
      <c r="I170" s="5">
        <v>15120000</v>
      </c>
      <c r="J170" s="5">
        <v>148800000</v>
      </c>
      <c r="K170" s="5">
        <v>151300000</v>
      </c>
      <c r="L170" s="3">
        <v>0.97916666666666663</v>
      </c>
    </row>
    <row r="171" spans="1:12" x14ac:dyDescent="0.25">
      <c r="A171" t="s">
        <v>120</v>
      </c>
      <c r="B171" s="2">
        <v>46192</v>
      </c>
      <c r="C171" t="s">
        <v>17</v>
      </c>
      <c r="D171" t="s">
        <v>159</v>
      </c>
      <c r="E171" s="5">
        <v>143600000</v>
      </c>
      <c r="F171" s="5">
        <v>146600000</v>
      </c>
      <c r="G171" s="5">
        <v>3000000</v>
      </c>
      <c r="H171" s="5">
        <v>14360000</v>
      </c>
      <c r="I171" s="5">
        <v>14660000</v>
      </c>
      <c r="J171" s="5">
        <v>143700000</v>
      </c>
      <c r="K171" s="5">
        <v>146700000</v>
      </c>
      <c r="L171" s="3">
        <v>0.97916666666666663</v>
      </c>
    </row>
    <row r="172" spans="1:12" x14ac:dyDescent="0.25">
      <c r="A172" t="s">
        <v>121</v>
      </c>
      <c r="B172" s="2">
        <v>46193</v>
      </c>
      <c r="C172" t="s">
        <v>18</v>
      </c>
      <c r="D172" t="s">
        <v>159</v>
      </c>
      <c r="E172" s="5">
        <v>144100000</v>
      </c>
      <c r="F172" s="5">
        <v>147100000</v>
      </c>
      <c r="G172" s="5">
        <v>3000000</v>
      </c>
      <c r="H172" s="5">
        <v>14410000</v>
      </c>
      <c r="I172" s="5">
        <v>14710000</v>
      </c>
      <c r="J172" s="5">
        <v>144200000</v>
      </c>
      <c r="K172" s="5">
        <v>147200000</v>
      </c>
      <c r="L172" s="3">
        <v>0.39583333333333331</v>
      </c>
    </row>
    <row r="173" spans="1:12" x14ac:dyDescent="0.25">
      <c r="A173" t="s">
        <v>122</v>
      </c>
      <c r="B173" s="2">
        <v>46194</v>
      </c>
      <c r="C173" t="s">
        <v>19</v>
      </c>
      <c r="D173" t="s">
        <v>159</v>
      </c>
      <c r="E173" s="5">
        <v>144100000</v>
      </c>
      <c r="F173" s="5">
        <v>147100000</v>
      </c>
      <c r="G173" s="5">
        <v>3000000</v>
      </c>
      <c r="H173" s="5">
        <v>14410000</v>
      </c>
      <c r="I173" s="5">
        <v>14710000</v>
      </c>
      <c r="J173" s="5">
        <v>144200000</v>
      </c>
      <c r="K173" s="5">
        <v>147200000</v>
      </c>
      <c r="L173" s="3">
        <v>0</v>
      </c>
    </row>
    <row r="174" spans="1:12" x14ac:dyDescent="0.25">
      <c r="A174" t="s">
        <v>123</v>
      </c>
      <c r="B174" s="2">
        <v>46195</v>
      </c>
      <c r="C174" t="s">
        <v>20</v>
      </c>
      <c r="D174" t="s">
        <v>159</v>
      </c>
      <c r="E174" s="5">
        <v>145500000</v>
      </c>
      <c r="F174" s="5">
        <v>148500000</v>
      </c>
      <c r="G174" s="5">
        <v>3000000</v>
      </c>
      <c r="H174" s="5">
        <v>14550000</v>
      </c>
      <c r="I174" s="5">
        <v>14850000</v>
      </c>
      <c r="J174" s="5">
        <v>145600000</v>
      </c>
      <c r="K174" s="5">
        <v>148600000</v>
      </c>
      <c r="L174" s="3">
        <v>0.97916666666666663</v>
      </c>
    </row>
    <row r="175" spans="1:12" x14ac:dyDescent="0.25">
      <c r="A175" t="s">
        <v>124</v>
      </c>
      <c r="B175" s="2">
        <v>46196</v>
      </c>
      <c r="C175" t="s">
        <v>21</v>
      </c>
      <c r="D175" t="s">
        <v>159</v>
      </c>
      <c r="E175" s="5">
        <v>143900000</v>
      </c>
      <c r="F175" s="5">
        <v>146900000</v>
      </c>
      <c r="G175" s="5">
        <v>3000000</v>
      </c>
      <c r="H175" s="5">
        <v>14390000</v>
      </c>
      <c r="I175" s="5">
        <v>14690000</v>
      </c>
      <c r="J175" s="5">
        <v>144000000</v>
      </c>
      <c r="K175" s="5">
        <v>147000000</v>
      </c>
      <c r="L175" s="3">
        <v>0.97916666666666663</v>
      </c>
    </row>
    <row r="176" spans="1:12" x14ac:dyDescent="0.25">
      <c r="A176" t="s">
        <v>125</v>
      </c>
      <c r="B176" s="2">
        <v>46197</v>
      </c>
      <c r="C176" t="s">
        <v>22</v>
      </c>
      <c r="D176" t="s">
        <v>159</v>
      </c>
      <c r="E176" s="5">
        <v>143900000</v>
      </c>
      <c r="F176" s="5">
        <v>146900000</v>
      </c>
      <c r="G176" s="5">
        <v>3000000</v>
      </c>
      <c r="H176" s="5">
        <v>14390000</v>
      </c>
      <c r="I176" s="5">
        <v>14690000</v>
      </c>
      <c r="J176" s="5">
        <v>144000000</v>
      </c>
      <c r="K176" s="5">
        <v>147000000</v>
      </c>
      <c r="L176" s="3">
        <v>0.97916666666666663</v>
      </c>
    </row>
    <row r="177" spans="1:12" x14ac:dyDescent="0.25">
      <c r="A177" t="s">
        <v>126</v>
      </c>
      <c r="B177" s="2">
        <v>46198</v>
      </c>
      <c r="C177" t="s">
        <v>16</v>
      </c>
      <c r="D177" t="s">
        <v>159</v>
      </c>
      <c r="E177" s="5">
        <v>143100000</v>
      </c>
      <c r="F177" s="5">
        <v>146100000</v>
      </c>
      <c r="G177" s="5">
        <v>3000000</v>
      </c>
      <c r="H177" s="5">
        <v>14310000</v>
      </c>
      <c r="I177" s="5">
        <v>14610000</v>
      </c>
      <c r="J177" s="5">
        <v>143200000</v>
      </c>
      <c r="K177" s="5">
        <v>146200000</v>
      </c>
      <c r="L177" s="3">
        <v>0.97916666666666663</v>
      </c>
    </row>
    <row r="178" spans="1:12" x14ac:dyDescent="0.25">
      <c r="A178" t="s">
        <v>127</v>
      </c>
      <c r="B178" s="2">
        <v>46199</v>
      </c>
      <c r="C178" t="s">
        <v>17</v>
      </c>
      <c r="D178" t="s">
        <v>159</v>
      </c>
      <c r="E178" s="5">
        <v>143900000</v>
      </c>
      <c r="F178" s="5">
        <v>146900000</v>
      </c>
      <c r="G178" s="5">
        <v>3000000</v>
      </c>
      <c r="H178" s="5">
        <v>14390000</v>
      </c>
      <c r="I178" s="5">
        <v>14690000</v>
      </c>
      <c r="J178" s="5">
        <v>144000000</v>
      </c>
      <c r="K178" s="5">
        <v>147000000</v>
      </c>
      <c r="L178" s="3">
        <v>0.97916666666666663</v>
      </c>
    </row>
    <row r="179" spans="1:12" x14ac:dyDescent="0.25">
      <c r="A179" t="s">
        <v>128</v>
      </c>
      <c r="B179" s="2">
        <v>46200</v>
      </c>
      <c r="C179" t="s">
        <v>18</v>
      </c>
      <c r="D179" t="s">
        <v>159</v>
      </c>
      <c r="E179" s="5">
        <v>145400000</v>
      </c>
      <c r="F179" s="5">
        <v>148400000</v>
      </c>
      <c r="G179" s="5">
        <v>3000000</v>
      </c>
      <c r="H179" s="5">
        <v>14540000</v>
      </c>
      <c r="I179" s="5">
        <v>14840000</v>
      </c>
      <c r="J179" s="5">
        <v>145500000</v>
      </c>
      <c r="K179" s="5">
        <v>148500000</v>
      </c>
      <c r="L179" s="3">
        <v>0.41666666666666669</v>
      </c>
    </row>
    <row r="180" spans="1:12" x14ac:dyDescent="0.25">
      <c r="A180" t="s">
        <v>129</v>
      </c>
      <c r="B180" s="2">
        <v>46201</v>
      </c>
      <c r="C180" t="s">
        <v>19</v>
      </c>
      <c r="D180" t="s">
        <v>159</v>
      </c>
      <c r="E180" s="5">
        <v>145400000</v>
      </c>
      <c r="F180" s="5">
        <v>148400000</v>
      </c>
      <c r="G180" s="5">
        <v>3000000</v>
      </c>
      <c r="H180" s="5">
        <v>14540000</v>
      </c>
      <c r="I180" s="5">
        <v>14840000</v>
      </c>
      <c r="J180" s="5">
        <v>145500000</v>
      </c>
      <c r="K180" s="5">
        <v>148500000</v>
      </c>
      <c r="L180" s="3">
        <v>0.3125</v>
      </c>
    </row>
    <row r="181" spans="1:12" x14ac:dyDescent="0.25">
      <c r="A181" t="s">
        <v>130</v>
      </c>
      <c r="B181" s="2">
        <v>46202</v>
      </c>
      <c r="C181" t="s">
        <v>20</v>
      </c>
      <c r="D181" t="s">
        <v>159</v>
      </c>
      <c r="E181" s="5">
        <v>144900000</v>
      </c>
      <c r="F181" s="5">
        <v>147900000</v>
      </c>
      <c r="G181" s="5">
        <v>3000000</v>
      </c>
      <c r="H181" s="5">
        <v>14490000</v>
      </c>
      <c r="I181" s="5">
        <v>14790000</v>
      </c>
      <c r="J181" s="5">
        <v>145000000</v>
      </c>
      <c r="K181" s="5">
        <v>148000000</v>
      </c>
      <c r="L181" s="3">
        <v>0.97916666666666663</v>
      </c>
    </row>
    <row r="182" spans="1:12" x14ac:dyDescent="0.25">
      <c r="A182" t="s">
        <v>131</v>
      </c>
      <c r="B182" s="2">
        <v>46203</v>
      </c>
      <c r="C182" t="s">
        <v>21</v>
      </c>
      <c r="D182" t="s">
        <v>159</v>
      </c>
      <c r="E182" s="5">
        <v>143900000</v>
      </c>
      <c r="F182" s="5">
        <v>146900000</v>
      </c>
      <c r="G182" s="5">
        <v>3000000</v>
      </c>
      <c r="H182" s="5">
        <v>14390000</v>
      </c>
      <c r="I182" s="5">
        <v>14690000</v>
      </c>
      <c r="J182" s="5">
        <v>144000000</v>
      </c>
      <c r="K182" s="5">
        <v>147000000</v>
      </c>
      <c r="L182" s="3">
        <v>0.97916666666666663</v>
      </c>
    </row>
    <row r="183" spans="1:12" x14ac:dyDescent="0.25">
      <c r="A183" s="2">
        <v>46029</v>
      </c>
      <c r="B183" s="2">
        <v>46204</v>
      </c>
      <c r="C183" t="s">
        <v>22</v>
      </c>
      <c r="D183" t="s">
        <v>159</v>
      </c>
      <c r="E183" s="5">
        <v>143300000</v>
      </c>
      <c r="F183" s="5">
        <v>146300000</v>
      </c>
      <c r="G183" s="5">
        <v>3000000</v>
      </c>
      <c r="H183" s="5">
        <v>14330000</v>
      </c>
      <c r="I183" s="5">
        <v>14630000</v>
      </c>
      <c r="J183" s="5">
        <v>143400000</v>
      </c>
      <c r="K183" s="5">
        <v>146400000</v>
      </c>
      <c r="L183" s="3">
        <v>0.97916666666666663</v>
      </c>
    </row>
    <row r="184" spans="1:12" x14ac:dyDescent="0.25">
      <c r="A184" s="2">
        <v>46060</v>
      </c>
      <c r="B184" s="2">
        <v>46205</v>
      </c>
      <c r="C184" t="s">
        <v>16</v>
      </c>
      <c r="D184" t="s">
        <v>159</v>
      </c>
      <c r="E184" s="5">
        <v>145300000</v>
      </c>
      <c r="F184" s="5">
        <v>148300000</v>
      </c>
      <c r="G184" s="5">
        <v>3000000</v>
      </c>
      <c r="H184" s="5">
        <v>14530000</v>
      </c>
      <c r="I184" s="5">
        <v>14830000</v>
      </c>
      <c r="J184" s="5">
        <v>145400000</v>
      </c>
      <c r="K184" s="5">
        <v>148400000</v>
      </c>
      <c r="L184" s="3">
        <v>0.97916666666666663</v>
      </c>
    </row>
    <row r="185" spans="1:12" x14ac:dyDescent="0.25">
      <c r="A185" s="2">
        <v>46088</v>
      </c>
      <c r="B185" s="2">
        <v>46206</v>
      </c>
      <c r="C185" t="s">
        <v>17</v>
      </c>
      <c r="D185" t="s">
        <v>159</v>
      </c>
      <c r="E185" s="5">
        <v>148300000</v>
      </c>
      <c r="F185" s="5">
        <v>151300000</v>
      </c>
      <c r="G185" s="5">
        <v>3000000</v>
      </c>
      <c r="H185" s="5">
        <v>14830000</v>
      </c>
      <c r="I185" s="5">
        <v>15130000</v>
      </c>
      <c r="J185" s="5">
        <v>148400000</v>
      </c>
      <c r="K185" s="5">
        <v>151400000</v>
      </c>
      <c r="L185" s="3">
        <v>0.97916666666666663</v>
      </c>
    </row>
    <row r="186" spans="1:12" x14ac:dyDescent="0.25">
      <c r="A186" s="2">
        <v>46119</v>
      </c>
      <c r="B186" s="2">
        <v>46207</v>
      </c>
      <c r="C186" t="s">
        <v>18</v>
      </c>
      <c r="D186" t="s">
        <v>159</v>
      </c>
      <c r="E186" s="5">
        <v>148300000</v>
      </c>
      <c r="F186" s="5">
        <v>151300000</v>
      </c>
      <c r="G186" s="5">
        <v>3000000</v>
      </c>
      <c r="H186" s="5">
        <v>14830000</v>
      </c>
      <c r="I186" s="5">
        <v>15130000</v>
      </c>
      <c r="J186" s="5">
        <v>148400000</v>
      </c>
      <c r="K186" s="5">
        <v>151400000</v>
      </c>
      <c r="L186" s="3">
        <v>2.0833333333333332E-2</v>
      </c>
    </row>
    <row r="187" spans="1:12" x14ac:dyDescent="0.25">
      <c r="A187" s="2">
        <v>46149</v>
      </c>
      <c r="B187" s="2">
        <v>46208</v>
      </c>
      <c r="C187" t="s">
        <v>19</v>
      </c>
      <c r="D187" t="s">
        <v>159</v>
      </c>
      <c r="E187" s="5">
        <v>148300000</v>
      </c>
      <c r="F187" s="5">
        <v>151300000</v>
      </c>
      <c r="G187" s="5">
        <v>3000000</v>
      </c>
      <c r="H187" s="5">
        <v>14830000</v>
      </c>
      <c r="I187" s="5">
        <v>15130000</v>
      </c>
      <c r="J187" s="5">
        <v>148400000</v>
      </c>
      <c r="K187" s="5">
        <v>151400000</v>
      </c>
      <c r="L187" s="3">
        <v>0</v>
      </c>
    </row>
    <row r="188" spans="1:12" x14ac:dyDescent="0.25">
      <c r="A188" s="2">
        <v>46180</v>
      </c>
      <c r="B188" s="2">
        <v>46209</v>
      </c>
      <c r="C188" t="s">
        <v>20</v>
      </c>
      <c r="D188" t="s">
        <v>159</v>
      </c>
      <c r="E188" s="5">
        <v>147900000</v>
      </c>
      <c r="F188" s="5">
        <v>150900000</v>
      </c>
      <c r="G188" s="5">
        <v>3000000</v>
      </c>
      <c r="H188" s="5">
        <v>14790000</v>
      </c>
      <c r="I188" s="5">
        <v>15090000</v>
      </c>
      <c r="J188" s="5">
        <v>148000000</v>
      </c>
      <c r="K188" s="5">
        <v>151000000</v>
      </c>
      <c r="L188" s="3">
        <v>0.97916666666666663</v>
      </c>
    </row>
    <row r="189" spans="1:12" x14ac:dyDescent="0.25">
      <c r="A189" s="2">
        <v>46210</v>
      </c>
      <c r="B189" s="2">
        <v>46210</v>
      </c>
      <c r="C189" t="s">
        <v>21</v>
      </c>
      <c r="D189" t="s">
        <v>159</v>
      </c>
      <c r="E189" s="5">
        <v>146700000</v>
      </c>
      <c r="F189" s="5">
        <v>149700000</v>
      </c>
      <c r="G189" s="5">
        <v>3000000</v>
      </c>
      <c r="H189" s="5">
        <v>14670000</v>
      </c>
      <c r="I189" s="5">
        <v>14970000</v>
      </c>
      <c r="J189" s="5">
        <v>147000000</v>
      </c>
      <c r="K189" s="5">
        <v>150000000</v>
      </c>
      <c r="L189" s="3">
        <v>0.97916666666666663</v>
      </c>
    </row>
    <row r="190" spans="1:12" x14ac:dyDescent="0.25">
      <c r="A190" s="2">
        <v>46241</v>
      </c>
      <c r="B190" s="2">
        <v>46211</v>
      </c>
      <c r="C190" t="s">
        <v>22</v>
      </c>
      <c r="D190" t="s">
        <v>159</v>
      </c>
      <c r="E190" s="5">
        <v>145200000</v>
      </c>
      <c r="F190" s="5">
        <v>148200000</v>
      </c>
      <c r="G190" s="5">
        <v>3000000</v>
      </c>
      <c r="H190" s="5">
        <v>14520000</v>
      </c>
      <c r="I190" s="5">
        <v>14820000</v>
      </c>
      <c r="J190" s="5">
        <v>145500000</v>
      </c>
      <c r="K190" s="5">
        <v>148500000</v>
      </c>
      <c r="L190" s="3">
        <v>0.97916666666666663</v>
      </c>
    </row>
    <row r="191" spans="1:12" x14ac:dyDescent="0.25">
      <c r="A191" s="2">
        <v>46272</v>
      </c>
      <c r="B191" s="2">
        <v>46212</v>
      </c>
      <c r="C191" t="s">
        <v>16</v>
      </c>
      <c r="D191" t="s">
        <v>159</v>
      </c>
      <c r="E191" s="5">
        <v>145700000</v>
      </c>
      <c r="F191" s="5">
        <v>148700000</v>
      </c>
      <c r="G191" s="5">
        <v>3000000</v>
      </c>
      <c r="H191" s="5">
        <v>14570000</v>
      </c>
      <c r="I191" s="5">
        <v>14870000</v>
      </c>
      <c r="J191" s="5">
        <v>146000000</v>
      </c>
      <c r="K191" s="5">
        <v>149000000</v>
      </c>
      <c r="L191" s="3">
        <v>0.97916666666666663</v>
      </c>
    </row>
    <row r="192" spans="1:12" x14ac:dyDescent="0.25">
      <c r="A192" s="2">
        <v>46302</v>
      </c>
      <c r="B192" s="2">
        <v>46213</v>
      </c>
      <c r="C192" t="s">
        <v>17</v>
      </c>
      <c r="D192" t="s">
        <v>159</v>
      </c>
      <c r="E192" s="5">
        <v>146400000</v>
      </c>
      <c r="F192" s="5">
        <v>149400000</v>
      </c>
      <c r="G192" s="5">
        <v>3000000</v>
      </c>
      <c r="H192" s="5">
        <v>14640000</v>
      </c>
      <c r="I192" s="5">
        <v>14940000</v>
      </c>
      <c r="J192" s="5">
        <v>146900000</v>
      </c>
      <c r="K192" s="5">
        <v>149900000</v>
      </c>
      <c r="L192" s="3">
        <v>0.9375</v>
      </c>
    </row>
    <row r="193" spans="1:12" x14ac:dyDescent="0.25">
      <c r="A193" s="2">
        <v>46333</v>
      </c>
      <c r="B193" s="2">
        <v>46214</v>
      </c>
      <c r="C193" t="s">
        <v>18</v>
      </c>
      <c r="D193" t="s">
        <v>159</v>
      </c>
      <c r="E193" s="5">
        <v>146400000</v>
      </c>
      <c r="F193" s="5">
        <v>149400000</v>
      </c>
      <c r="G193" s="5">
        <v>3000000</v>
      </c>
      <c r="H193" s="5">
        <v>14640000</v>
      </c>
      <c r="I193" s="5">
        <v>14940000</v>
      </c>
      <c r="J193" s="5">
        <v>146900000</v>
      </c>
      <c r="K193" s="5">
        <v>149900000</v>
      </c>
      <c r="L193" s="3">
        <v>0.375</v>
      </c>
    </row>
    <row r="194" spans="1:12" x14ac:dyDescent="0.25">
      <c r="A194" s="2">
        <v>46363</v>
      </c>
      <c r="B194" s="2">
        <v>46215</v>
      </c>
      <c r="C194" t="s">
        <v>19</v>
      </c>
      <c r="D194" t="s">
        <v>159</v>
      </c>
      <c r="E194" s="5">
        <v>146400000</v>
      </c>
      <c r="F194" s="5">
        <v>149400000</v>
      </c>
      <c r="G194" s="5">
        <v>3000000</v>
      </c>
      <c r="H194" s="5">
        <v>14640000</v>
      </c>
      <c r="I194" s="5">
        <v>14940000</v>
      </c>
      <c r="J194" s="5">
        <v>146900000</v>
      </c>
      <c r="K194" s="5">
        <v>149900000</v>
      </c>
      <c r="L194" s="3">
        <v>0</v>
      </c>
    </row>
    <row r="195" spans="1:12" x14ac:dyDescent="0.25">
      <c r="A195" t="s">
        <v>132</v>
      </c>
      <c r="B195" s="2">
        <v>46216</v>
      </c>
      <c r="C195" t="s">
        <v>20</v>
      </c>
      <c r="D195" t="s">
        <v>159</v>
      </c>
      <c r="E195" s="5">
        <v>144400000</v>
      </c>
      <c r="F195" s="5">
        <v>147900000</v>
      </c>
      <c r="G195" s="5">
        <v>3500000</v>
      </c>
      <c r="H195" s="5">
        <v>14440000</v>
      </c>
      <c r="I195" s="5">
        <v>14790000</v>
      </c>
      <c r="J195" s="5">
        <v>145400000</v>
      </c>
      <c r="K195" s="5">
        <v>148400000</v>
      </c>
      <c r="L195" s="3">
        <v>0.91666666666666663</v>
      </c>
    </row>
    <row r="196" spans="1:12" x14ac:dyDescent="0.25">
      <c r="A196" t="s">
        <v>133</v>
      </c>
      <c r="B196" s="2">
        <v>46217</v>
      </c>
      <c r="C196" t="s">
        <v>21</v>
      </c>
      <c r="D196" t="s">
        <v>159</v>
      </c>
      <c r="E196" s="5">
        <v>143500000</v>
      </c>
      <c r="F196" s="5">
        <v>147000000</v>
      </c>
      <c r="G196" s="5">
        <v>3500000</v>
      </c>
      <c r="H196" s="5">
        <v>14350000</v>
      </c>
      <c r="I196" s="5">
        <v>14700000</v>
      </c>
      <c r="J196" s="5">
        <v>144500000</v>
      </c>
      <c r="K196" s="5">
        <v>147500000</v>
      </c>
      <c r="L196" s="3">
        <v>0.97916666666666663</v>
      </c>
    </row>
    <row r="197" spans="1:12" x14ac:dyDescent="0.25">
      <c r="A197" t="s">
        <v>134</v>
      </c>
      <c r="B197" s="2">
        <v>46218</v>
      </c>
      <c r="C197" t="s">
        <v>22</v>
      </c>
      <c r="D197" t="s">
        <v>159</v>
      </c>
      <c r="E197" s="5">
        <v>144500000</v>
      </c>
      <c r="F197" s="5">
        <v>148000000</v>
      </c>
      <c r="G197" s="5">
        <v>3500000</v>
      </c>
      <c r="H197" s="5">
        <v>14450000</v>
      </c>
      <c r="I197" s="5">
        <v>14800000</v>
      </c>
      <c r="J197" s="5">
        <v>145500000</v>
      </c>
      <c r="K197" s="5">
        <v>148500000</v>
      </c>
      <c r="L197" s="3">
        <v>0.97916666666666663</v>
      </c>
    </row>
    <row r="198" spans="1:12" x14ac:dyDescent="0.25">
      <c r="A198" t="s">
        <v>135</v>
      </c>
      <c r="B198" s="2">
        <v>46219</v>
      </c>
      <c r="C198" t="s">
        <v>16</v>
      </c>
      <c r="D198" t="s">
        <v>159</v>
      </c>
      <c r="E198" s="5">
        <v>143700000</v>
      </c>
      <c r="F198" s="5">
        <v>147200000</v>
      </c>
      <c r="G198" s="5">
        <v>3500000</v>
      </c>
      <c r="H198" s="5">
        <v>14370000</v>
      </c>
      <c r="I198" s="5">
        <v>14720000</v>
      </c>
      <c r="J198" s="5">
        <v>145200000</v>
      </c>
      <c r="K198" s="5">
        <v>148200000</v>
      </c>
      <c r="L198" s="3">
        <v>0.97916666666666663</v>
      </c>
    </row>
    <row r="199" spans="1:12" x14ac:dyDescent="0.25">
      <c r="A199" t="s">
        <v>136</v>
      </c>
      <c r="B199" s="2">
        <v>46220</v>
      </c>
      <c r="C199" t="s">
        <v>17</v>
      </c>
      <c r="D199" t="s">
        <v>159</v>
      </c>
      <c r="E199" s="5">
        <v>142100000</v>
      </c>
      <c r="F199" s="5">
        <v>145600000</v>
      </c>
      <c r="G199" s="5">
        <v>3500000</v>
      </c>
      <c r="H199" s="5">
        <v>14210000</v>
      </c>
      <c r="I199" s="5">
        <v>14560000</v>
      </c>
      <c r="J199" s="5">
        <v>143600000</v>
      </c>
      <c r="K199" s="5">
        <v>146600000</v>
      </c>
      <c r="L199" s="3">
        <v>0.97916666666666663</v>
      </c>
    </row>
    <row r="200" spans="1:12" x14ac:dyDescent="0.25">
      <c r="A200" t="s">
        <v>137</v>
      </c>
      <c r="B200" s="2">
        <v>46221</v>
      </c>
      <c r="C200" t="s">
        <v>18</v>
      </c>
      <c r="D200" t="s">
        <v>159</v>
      </c>
      <c r="E200" s="5">
        <v>143000000</v>
      </c>
      <c r="F200" s="5">
        <v>146500000</v>
      </c>
      <c r="G200" s="5">
        <v>3500000</v>
      </c>
      <c r="H200" s="5">
        <v>14300000</v>
      </c>
      <c r="I200" s="5">
        <v>14650000</v>
      </c>
      <c r="J200" s="5">
        <v>144500000</v>
      </c>
      <c r="K200" s="5">
        <v>147500000</v>
      </c>
      <c r="L200" s="3">
        <v>0.39583333333333331</v>
      </c>
    </row>
    <row r="201" spans="1:12" x14ac:dyDescent="0.25">
      <c r="A201" t="s">
        <v>138</v>
      </c>
      <c r="B201" s="2">
        <v>46222</v>
      </c>
      <c r="C201" t="s">
        <v>19</v>
      </c>
      <c r="D201" t="s">
        <v>159</v>
      </c>
      <c r="E201" s="5">
        <v>143000000</v>
      </c>
      <c r="F201" s="5">
        <v>146500000</v>
      </c>
      <c r="G201" s="5">
        <v>3500000</v>
      </c>
      <c r="H201" s="5">
        <v>14300000</v>
      </c>
      <c r="I201" s="5">
        <v>14650000</v>
      </c>
      <c r="J201" s="5">
        <v>144500000</v>
      </c>
      <c r="K201" s="5">
        <v>147500000</v>
      </c>
      <c r="L201" s="3">
        <v>0.97916666666666663</v>
      </c>
    </row>
    <row r="202" spans="1:12" x14ac:dyDescent="0.25">
      <c r="A202" t="s">
        <v>139</v>
      </c>
      <c r="B202" s="2">
        <v>46223</v>
      </c>
      <c r="C202" t="s">
        <v>20</v>
      </c>
      <c r="D202" t="s">
        <v>159</v>
      </c>
      <c r="E202" s="5">
        <v>141500000</v>
      </c>
      <c r="F202" s="5">
        <v>145000000</v>
      </c>
      <c r="G202" s="5">
        <v>3500000</v>
      </c>
      <c r="H202" s="5">
        <v>14150000</v>
      </c>
      <c r="I202" s="5">
        <v>14500000</v>
      </c>
      <c r="J202" s="5">
        <v>143000000</v>
      </c>
      <c r="K202" s="5">
        <v>146000000</v>
      </c>
      <c r="L202" s="3">
        <v>0.97916666666666663</v>
      </c>
    </row>
    <row r="203" spans="1:12" x14ac:dyDescent="0.25">
      <c r="A203" t="s">
        <v>140</v>
      </c>
      <c r="B203" s="2">
        <v>46224</v>
      </c>
      <c r="C203" t="s">
        <v>21</v>
      </c>
      <c r="D203" t="s">
        <v>159</v>
      </c>
      <c r="E203" s="5">
        <v>141900000</v>
      </c>
      <c r="F203" s="5">
        <v>145400000</v>
      </c>
      <c r="G203" s="5">
        <v>3500000</v>
      </c>
      <c r="H203" s="5">
        <v>14190000</v>
      </c>
      <c r="I203" s="5">
        <v>14540000</v>
      </c>
      <c r="J203" s="5">
        <v>143400000</v>
      </c>
      <c r="K203" s="5">
        <v>146400000</v>
      </c>
      <c r="L203" s="3">
        <v>0.97916666666666663</v>
      </c>
    </row>
    <row r="204" spans="1:12" x14ac:dyDescent="0.25">
      <c r="A204" t="s">
        <v>141</v>
      </c>
      <c r="B204" s="2">
        <v>46225</v>
      </c>
      <c r="C204" t="s">
        <v>22</v>
      </c>
      <c r="D204" t="s">
        <v>159</v>
      </c>
      <c r="E204" s="5">
        <v>141000000</v>
      </c>
      <c r="F204" s="5">
        <v>145000000</v>
      </c>
      <c r="G204" s="5">
        <v>4000000</v>
      </c>
      <c r="H204" s="5">
        <v>14100000</v>
      </c>
      <c r="I204" s="5">
        <v>14500000</v>
      </c>
      <c r="J204" s="5">
        <v>142000000</v>
      </c>
      <c r="K204" s="5">
        <v>146000000</v>
      </c>
      <c r="L204" s="3">
        <v>0.97916666666666663</v>
      </c>
    </row>
    <row r="205" spans="1:12" x14ac:dyDescent="0.25">
      <c r="A205" t="s">
        <v>142</v>
      </c>
      <c r="B205" s="2">
        <v>46226</v>
      </c>
      <c r="C205" t="s">
        <v>16</v>
      </c>
      <c r="D205" t="s">
        <v>159</v>
      </c>
      <c r="E205" s="5">
        <v>134000000</v>
      </c>
      <c r="F205" s="5">
        <v>139000000</v>
      </c>
      <c r="G205" s="5">
        <v>5000000</v>
      </c>
      <c r="H205" s="5">
        <v>13400000</v>
      </c>
      <c r="I205" s="5">
        <v>13900000</v>
      </c>
      <c r="J205" s="5">
        <v>135000000</v>
      </c>
      <c r="K205" s="5">
        <v>140000000</v>
      </c>
      <c r="L205" s="3">
        <v>0.97916666666666663</v>
      </c>
    </row>
    <row r="206" spans="1:12" x14ac:dyDescent="0.25">
      <c r="A206" t="s">
        <v>143</v>
      </c>
      <c r="B206" s="2">
        <v>46227</v>
      </c>
      <c r="C206" t="s">
        <v>17</v>
      </c>
      <c r="D206" t="s">
        <v>159</v>
      </c>
      <c r="E206" s="5">
        <v>135000000</v>
      </c>
      <c r="F206" s="5">
        <v>140000000</v>
      </c>
      <c r="G206" s="5">
        <v>5000000</v>
      </c>
      <c r="H206" s="5">
        <v>13500000</v>
      </c>
      <c r="I206" s="5">
        <v>14000000</v>
      </c>
      <c r="J206" s="5">
        <v>135500000</v>
      </c>
      <c r="K206" s="5">
        <v>140500000</v>
      </c>
      <c r="L206" s="3">
        <v>0.97916666666666663</v>
      </c>
    </row>
    <row r="207" spans="1:12" x14ac:dyDescent="0.25">
      <c r="A207" t="s">
        <v>144</v>
      </c>
      <c r="B207" s="2">
        <v>46228</v>
      </c>
      <c r="C207" t="s">
        <v>18</v>
      </c>
      <c r="D207" t="s">
        <v>159</v>
      </c>
      <c r="E207" s="5">
        <v>137000000</v>
      </c>
      <c r="F207" s="5">
        <v>141000000</v>
      </c>
      <c r="G207" s="5">
        <v>4000000</v>
      </c>
      <c r="H207" s="5">
        <v>13700000</v>
      </c>
      <c r="I207" s="5">
        <v>14100000</v>
      </c>
      <c r="J207" s="5">
        <v>137500000</v>
      </c>
      <c r="K207" s="5">
        <v>141500000</v>
      </c>
      <c r="L207" s="3">
        <v>0.39583333333333331</v>
      </c>
    </row>
    <row r="208" spans="1:12" x14ac:dyDescent="0.25">
      <c r="A208" t="s">
        <v>145</v>
      </c>
      <c r="B208" s="2">
        <v>46229</v>
      </c>
      <c r="C208" t="s">
        <v>19</v>
      </c>
      <c r="D208" t="s">
        <v>159</v>
      </c>
      <c r="E208" s="5">
        <v>137000000</v>
      </c>
      <c r="F208" s="5">
        <v>141000000</v>
      </c>
      <c r="G208" s="5">
        <v>4000000</v>
      </c>
      <c r="H208" s="5">
        <v>13700000</v>
      </c>
      <c r="I208" s="5">
        <v>14100000</v>
      </c>
      <c r="J208" s="5">
        <v>137500000</v>
      </c>
      <c r="K208" s="5">
        <v>141500000</v>
      </c>
      <c r="L208" s="3">
        <v>0</v>
      </c>
    </row>
    <row r="209" spans="1:12" x14ac:dyDescent="0.25">
      <c r="A209" t="s">
        <v>146</v>
      </c>
      <c r="B209" s="2">
        <v>46230</v>
      </c>
      <c r="C209" t="s">
        <v>20</v>
      </c>
      <c r="D209" t="s">
        <v>159</v>
      </c>
      <c r="E209" s="5">
        <v>138500000</v>
      </c>
      <c r="F209" s="5">
        <v>142500000</v>
      </c>
      <c r="G209" s="5">
        <v>4000000</v>
      </c>
      <c r="H209" s="5">
        <v>13850000</v>
      </c>
      <c r="I209" s="5">
        <v>14250000</v>
      </c>
      <c r="J209" s="5">
        <v>139000000</v>
      </c>
      <c r="K209" s="5">
        <v>143000000</v>
      </c>
      <c r="L209" s="3">
        <v>0.97916666666666663</v>
      </c>
    </row>
    <row r="210" spans="1:12" x14ac:dyDescent="0.25">
      <c r="A210" t="s">
        <v>147</v>
      </c>
      <c r="B210" s="2">
        <v>46231</v>
      </c>
      <c r="C210" t="s">
        <v>21</v>
      </c>
      <c r="D210" t="s">
        <v>159</v>
      </c>
      <c r="E210" s="5">
        <v>137000000</v>
      </c>
      <c r="F210" s="5">
        <v>141000000</v>
      </c>
      <c r="G210" s="5">
        <v>4000000</v>
      </c>
      <c r="H210" s="5">
        <v>13700000</v>
      </c>
      <c r="I210" s="5">
        <v>14100000</v>
      </c>
      <c r="J210" s="5">
        <v>137500000</v>
      </c>
      <c r="K210" s="5">
        <v>141500000</v>
      </c>
      <c r="L210" s="3">
        <v>0.97916666666666663</v>
      </c>
    </row>
    <row r="211" spans="1:12" x14ac:dyDescent="0.25">
      <c r="A211" t="s">
        <v>148</v>
      </c>
      <c r="B211" s="2">
        <v>46232</v>
      </c>
      <c r="C211" t="s">
        <v>22</v>
      </c>
      <c r="D211" t="s">
        <v>159</v>
      </c>
      <c r="E211" s="5">
        <v>137000000</v>
      </c>
      <c r="F211" s="5">
        <v>141000000</v>
      </c>
      <c r="G211" s="5">
        <v>4000000</v>
      </c>
      <c r="H211" s="5">
        <v>13700000</v>
      </c>
      <c r="I211" s="5">
        <v>14100000</v>
      </c>
      <c r="J211" s="5">
        <v>137500000</v>
      </c>
      <c r="K211" s="5">
        <v>141500000</v>
      </c>
      <c r="L211" s="3">
        <v>0.97916666666666663</v>
      </c>
    </row>
    <row r="212" spans="1:12" x14ac:dyDescent="0.25">
      <c r="A212" t="s">
        <v>149</v>
      </c>
      <c r="B212" s="2">
        <v>46233</v>
      </c>
      <c r="C212" t="s">
        <v>16</v>
      </c>
      <c r="D212" t="s">
        <v>159</v>
      </c>
      <c r="E212" s="5">
        <v>137200000</v>
      </c>
      <c r="F212" s="5">
        <v>141200000</v>
      </c>
      <c r="G212" s="5">
        <v>4000000</v>
      </c>
      <c r="H212" s="5">
        <v>13720000</v>
      </c>
      <c r="I212" s="5">
        <v>14120000</v>
      </c>
      <c r="J212" s="5">
        <v>137700000</v>
      </c>
      <c r="K212" s="5">
        <v>141700000</v>
      </c>
      <c r="L212" s="3">
        <v>0.97916666666666663</v>
      </c>
    </row>
    <row r="213" spans="1:12" x14ac:dyDescent="0.25">
      <c r="A213" t="s">
        <v>150</v>
      </c>
      <c r="B213" s="2">
        <v>46234</v>
      </c>
      <c r="C213" t="s">
        <v>17</v>
      </c>
      <c r="D213" t="s">
        <v>159</v>
      </c>
      <c r="E213" s="5">
        <v>137400000</v>
      </c>
      <c r="F213" s="5">
        <v>141400000</v>
      </c>
      <c r="G213" s="5">
        <v>4000000</v>
      </c>
      <c r="H213" s="5">
        <v>13740000</v>
      </c>
      <c r="I213" s="5">
        <v>14140000</v>
      </c>
      <c r="J213" s="5">
        <v>137900000</v>
      </c>
      <c r="K213" s="5">
        <v>141900000</v>
      </c>
      <c r="L213" s="3">
        <v>0.97916666666666663</v>
      </c>
    </row>
    <row r="214" spans="1:12" x14ac:dyDescent="0.25">
      <c r="A214" s="2">
        <v>46030</v>
      </c>
      <c r="B214" s="2">
        <v>46235</v>
      </c>
      <c r="C214" t="s">
        <v>18</v>
      </c>
      <c r="D214" t="s">
        <v>159</v>
      </c>
      <c r="E214" s="5">
        <v>136500000</v>
      </c>
      <c r="F214" s="5">
        <v>140500000</v>
      </c>
      <c r="G214" s="5">
        <v>4000000</v>
      </c>
      <c r="H214" s="5">
        <v>13650000</v>
      </c>
      <c r="I214" s="5">
        <v>14050000</v>
      </c>
      <c r="J214" s="5">
        <v>137000000</v>
      </c>
      <c r="K214" s="5">
        <v>141000000</v>
      </c>
      <c r="L214" s="3">
        <v>0.39583333333333331</v>
      </c>
    </row>
    <row r="215" spans="1:12" x14ac:dyDescent="0.25">
      <c r="A215" s="2">
        <v>46061</v>
      </c>
      <c r="B215" s="2">
        <v>46236</v>
      </c>
      <c r="C215" t="s">
        <v>19</v>
      </c>
      <c r="D215" t="s">
        <v>159</v>
      </c>
      <c r="E215" s="5">
        <v>136500000</v>
      </c>
      <c r="F215" s="5">
        <v>140500000</v>
      </c>
      <c r="G215" s="5">
        <v>4000000</v>
      </c>
      <c r="H215" s="5">
        <v>13650000</v>
      </c>
      <c r="I215" s="5">
        <v>14050000</v>
      </c>
      <c r="J215" s="5">
        <v>137000000</v>
      </c>
      <c r="K215" s="5">
        <v>141000000</v>
      </c>
      <c r="L215" s="3">
        <v>0</v>
      </c>
    </row>
    <row r="216" spans="1:12" x14ac:dyDescent="0.25">
      <c r="A216" s="2">
        <v>46089</v>
      </c>
      <c r="B216" s="2">
        <v>46237</v>
      </c>
      <c r="C216" t="s">
        <v>20</v>
      </c>
      <c r="D216" t="s">
        <v>159</v>
      </c>
      <c r="E216" s="5">
        <v>136500000</v>
      </c>
      <c r="F216" s="5">
        <v>140500000</v>
      </c>
      <c r="G216" s="5">
        <v>4000000</v>
      </c>
      <c r="H216" s="5">
        <v>13650000</v>
      </c>
      <c r="I216" s="5">
        <v>14050000</v>
      </c>
      <c r="J216" s="5">
        <v>137500000</v>
      </c>
      <c r="K216" s="5">
        <v>141000000</v>
      </c>
      <c r="L216" s="3">
        <v>0.97916666666666663</v>
      </c>
    </row>
    <row r="217" spans="1:12" x14ac:dyDescent="0.25">
      <c r="A217" s="2">
        <v>46120</v>
      </c>
      <c r="B217" s="2">
        <v>46238</v>
      </c>
      <c r="C217" t="s">
        <v>21</v>
      </c>
      <c r="D217" t="s">
        <v>159</v>
      </c>
      <c r="E217" s="5">
        <v>136500000</v>
      </c>
      <c r="F217" s="5">
        <v>140000000</v>
      </c>
      <c r="G217" s="5">
        <v>3500000</v>
      </c>
      <c r="H217" s="5">
        <v>13650000</v>
      </c>
      <c r="I217" s="5">
        <v>14000000</v>
      </c>
      <c r="J217" s="5">
        <v>137500000</v>
      </c>
      <c r="K217" s="5">
        <v>140500000</v>
      </c>
      <c r="L217" s="3">
        <v>0.97916666666666663</v>
      </c>
    </row>
    <row r="218" spans="1:12" x14ac:dyDescent="0.25">
      <c r="A218" s="2">
        <v>46150</v>
      </c>
      <c r="B218" s="2">
        <v>46239</v>
      </c>
      <c r="C218" t="s">
        <v>22</v>
      </c>
      <c r="D218" t="s">
        <v>159</v>
      </c>
      <c r="E218" s="5">
        <v>138300000</v>
      </c>
      <c r="F218" s="5">
        <v>141300000</v>
      </c>
      <c r="G218" s="5">
        <v>3000000</v>
      </c>
      <c r="H218" s="5">
        <v>13830000</v>
      </c>
      <c r="I218" s="5">
        <v>14130000</v>
      </c>
      <c r="J218" s="5">
        <v>138800000</v>
      </c>
      <c r="K218" s="5">
        <v>141800000</v>
      </c>
      <c r="L218" s="3">
        <v>0.97916666666666663</v>
      </c>
    </row>
    <row r="219" spans="1:12" x14ac:dyDescent="0.25">
      <c r="A219" s="2">
        <v>46181</v>
      </c>
      <c r="B219" s="2">
        <v>46240</v>
      </c>
      <c r="C219" t="s">
        <v>16</v>
      </c>
      <c r="D219" t="s">
        <v>159</v>
      </c>
      <c r="E219" s="5">
        <v>139200000</v>
      </c>
      <c r="F219" s="5">
        <v>142200000</v>
      </c>
      <c r="G219" s="5">
        <v>3000000</v>
      </c>
      <c r="H219" s="5">
        <v>13920000</v>
      </c>
      <c r="I219" s="5">
        <v>14220000</v>
      </c>
      <c r="J219" s="5">
        <v>139700000</v>
      </c>
      <c r="K219" s="5">
        <v>142700000</v>
      </c>
      <c r="L219" s="3">
        <v>0.97916666666666663</v>
      </c>
    </row>
    <row r="220" spans="1:12" x14ac:dyDescent="0.25">
      <c r="A220" s="2">
        <v>46211</v>
      </c>
      <c r="B220" s="2">
        <v>46241</v>
      </c>
      <c r="C220" t="s">
        <v>17</v>
      </c>
      <c r="D220" t="s">
        <v>159</v>
      </c>
      <c r="E220" s="5">
        <v>138700000</v>
      </c>
      <c r="F220" s="5">
        <v>141700000</v>
      </c>
      <c r="G220" s="5">
        <v>3000000</v>
      </c>
      <c r="H220" s="5">
        <v>13870000</v>
      </c>
      <c r="I220" s="5">
        <v>14170000</v>
      </c>
      <c r="J220" s="5">
        <v>139200000</v>
      </c>
      <c r="K220" s="5">
        <v>142200000</v>
      </c>
      <c r="L220" s="3">
        <v>0.97916666666666663</v>
      </c>
    </row>
    <row r="221" spans="1:12" x14ac:dyDescent="0.25">
      <c r="A221" s="2">
        <v>46242</v>
      </c>
      <c r="B221" s="2">
        <v>46242</v>
      </c>
      <c r="C221" t="s">
        <v>18</v>
      </c>
      <c r="D221" t="s">
        <v>159</v>
      </c>
      <c r="E221" s="5">
        <v>140500000</v>
      </c>
      <c r="F221" s="5">
        <v>143500000</v>
      </c>
      <c r="G221" s="5">
        <v>3000000</v>
      </c>
      <c r="H221" s="5">
        <v>14050000</v>
      </c>
      <c r="I221" s="5">
        <v>14350000</v>
      </c>
      <c r="J221" s="5">
        <v>141000000</v>
      </c>
      <c r="K221" s="5">
        <v>144000000</v>
      </c>
      <c r="L221" s="3">
        <v>0.58333333333333337</v>
      </c>
    </row>
    <row r="222" spans="1:12" x14ac:dyDescent="0.25">
      <c r="A222" s="2">
        <v>46273</v>
      </c>
      <c r="B222" s="2">
        <v>46243</v>
      </c>
      <c r="C222" t="s">
        <v>19</v>
      </c>
      <c r="D222" t="s">
        <v>159</v>
      </c>
      <c r="E222" s="5">
        <v>140500000</v>
      </c>
      <c r="F222" s="5">
        <v>143500000</v>
      </c>
      <c r="G222" s="5">
        <v>3000000</v>
      </c>
      <c r="H222" s="5">
        <v>14050000</v>
      </c>
      <c r="I222" s="5">
        <v>14350000</v>
      </c>
      <c r="J222" s="5">
        <v>141000000</v>
      </c>
      <c r="K222" s="5">
        <v>144000000</v>
      </c>
      <c r="L222" s="3">
        <v>0</v>
      </c>
    </row>
    <row r="223" spans="1:12" x14ac:dyDescent="0.25">
      <c r="A223" s="2">
        <v>46303</v>
      </c>
      <c r="B223" s="2">
        <v>46244</v>
      </c>
      <c r="C223" t="s">
        <v>20</v>
      </c>
      <c r="D223" t="s">
        <v>159</v>
      </c>
      <c r="E223" s="5">
        <v>140600000</v>
      </c>
      <c r="F223" s="5">
        <v>143600000</v>
      </c>
      <c r="G223" s="5">
        <v>3000000</v>
      </c>
      <c r="H223" s="5">
        <v>14060000</v>
      </c>
      <c r="I223" s="5">
        <v>14360000</v>
      </c>
      <c r="J223" s="5">
        <v>141100000</v>
      </c>
      <c r="K223" s="5">
        <v>144100000</v>
      </c>
      <c r="L223" s="3">
        <v>0.97916666666666663</v>
      </c>
    </row>
    <row r="224" spans="1:12" x14ac:dyDescent="0.25">
      <c r="A224" s="2">
        <v>46334</v>
      </c>
      <c r="B224" s="2">
        <v>46245</v>
      </c>
      <c r="C224" t="s">
        <v>21</v>
      </c>
      <c r="D224" t="s">
        <v>159</v>
      </c>
      <c r="E224" s="5">
        <v>140000000</v>
      </c>
      <c r="F224" s="5">
        <v>143000000</v>
      </c>
      <c r="G224" s="5">
        <v>3000000</v>
      </c>
      <c r="H224" s="5">
        <v>14000000</v>
      </c>
      <c r="I224" s="5">
        <v>14300000</v>
      </c>
      <c r="J224" s="5">
        <v>140500000</v>
      </c>
      <c r="K224" s="5">
        <v>143500000</v>
      </c>
      <c r="L224" s="3">
        <v>0.97916666666666663</v>
      </c>
    </row>
    <row r="225" spans="1:12" x14ac:dyDescent="0.25">
      <c r="A225" s="2">
        <v>46364</v>
      </c>
      <c r="B225" s="2">
        <v>46246</v>
      </c>
      <c r="C225" t="s">
        <v>22</v>
      </c>
      <c r="D225" t="s">
        <v>159</v>
      </c>
      <c r="E225" s="5">
        <v>140800000</v>
      </c>
      <c r="F225" s="5">
        <v>143800000</v>
      </c>
      <c r="G225" s="5">
        <v>3000000</v>
      </c>
      <c r="H225" s="5">
        <v>14080000</v>
      </c>
      <c r="I225" s="5">
        <v>14380000</v>
      </c>
      <c r="J225" s="5">
        <v>141300000</v>
      </c>
      <c r="K225" s="5">
        <v>144300000</v>
      </c>
      <c r="L225" s="3">
        <v>0.97916666666666663</v>
      </c>
    </row>
    <row r="226" spans="1:12" x14ac:dyDescent="0.25">
      <c r="A226" t="s">
        <v>151</v>
      </c>
      <c r="B226" s="2">
        <v>46247</v>
      </c>
      <c r="C226" t="s">
        <v>16</v>
      </c>
      <c r="D226" t="s">
        <v>159</v>
      </c>
      <c r="E226" s="5">
        <v>140800000</v>
      </c>
      <c r="F226" s="5">
        <v>143800000</v>
      </c>
      <c r="G226" s="5">
        <v>3000000</v>
      </c>
      <c r="H226" s="5">
        <v>14080000</v>
      </c>
      <c r="I226" s="5">
        <v>14380000</v>
      </c>
      <c r="J226" s="5">
        <v>141300000</v>
      </c>
      <c r="K226" s="5">
        <v>144300000</v>
      </c>
      <c r="L226" s="3">
        <v>0.97916666666666663</v>
      </c>
    </row>
    <row r="227" spans="1:12" x14ac:dyDescent="0.25">
      <c r="A227" t="s">
        <v>152</v>
      </c>
      <c r="B227" s="2">
        <v>46248</v>
      </c>
      <c r="C227" t="s">
        <v>17</v>
      </c>
      <c r="D227" t="s">
        <v>159</v>
      </c>
      <c r="E227" s="5">
        <v>139800000</v>
      </c>
      <c r="F227" s="5">
        <v>142800000</v>
      </c>
      <c r="G227" s="5">
        <v>3000000</v>
      </c>
      <c r="H227" s="5">
        <v>13980000</v>
      </c>
      <c r="I227" s="5">
        <v>14280000</v>
      </c>
      <c r="J227" s="5">
        <v>140300000</v>
      </c>
      <c r="K227" s="5">
        <v>143300000</v>
      </c>
      <c r="L227" s="3">
        <v>0.97916666666666663</v>
      </c>
    </row>
    <row r="228" spans="1:12" x14ac:dyDescent="0.25">
      <c r="A228" t="s">
        <v>153</v>
      </c>
      <c r="B228" s="2">
        <v>46249</v>
      </c>
      <c r="C228" t="s">
        <v>18</v>
      </c>
      <c r="D228" t="s">
        <v>159</v>
      </c>
      <c r="E228" s="5">
        <v>140500000</v>
      </c>
      <c r="F228" s="5">
        <v>143500000</v>
      </c>
      <c r="G228" s="5">
        <v>3000000</v>
      </c>
      <c r="H228" s="5">
        <v>14050000</v>
      </c>
      <c r="I228" s="5">
        <v>14350000</v>
      </c>
      <c r="J228" s="5">
        <v>141000000</v>
      </c>
      <c r="K228" s="5">
        <v>144000000</v>
      </c>
      <c r="L228" s="3">
        <v>0.39583333333333331</v>
      </c>
    </row>
    <row r="229" spans="1:12" x14ac:dyDescent="0.25">
      <c r="A229" t="s">
        <v>154</v>
      </c>
      <c r="B229" s="2">
        <v>46250</v>
      </c>
      <c r="C229" t="s">
        <v>19</v>
      </c>
      <c r="D229" t="s">
        <v>159</v>
      </c>
      <c r="E229" s="5">
        <v>140500000</v>
      </c>
      <c r="F229" s="5">
        <v>143500000</v>
      </c>
      <c r="G229" s="5">
        <v>3000000</v>
      </c>
      <c r="H229" s="5">
        <v>14050000</v>
      </c>
      <c r="I229" s="5">
        <v>14350000</v>
      </c>
      <c r="J229" s="5">
        <v>141000000</v>
      </c>
      <c r="K229" s="5">
        <v>144000000</v>
      </c>
      <c r="L229" s="3">
        <v>0</v>
      </c>
    </row>
    <row r="230" spans="1:12" x14ac:dyDescent="0.25">
      <c r="A230" t="s">
        <v>155</v>
      </c>
      <c r="B230" s="2">
        <v>46251</v>
      </c>
      <c r="C230" t="s">
        <v>20</v>
      </c>
      <c r="D230" t="s">
        <v>159</v>
      </c>
      <c r="E230" s="5">
        <v>140700000</v>
      </c>
      <c r="F230" s="5">
        <v>143700000</v>
      </c>
      <c r="G230" s="5">
        <v>3000000</v>
      </c>
      <c r="H230" s="5">
        <v>14070000</v>
      </c>
      <c r="I230" s="5">
        <v>14370000</v>
      </c>
      <c r="J230" s="5">
        <v>141200000</v>
      </c>
      <c r="K230" s="5">
        <v>144200000</v>
      </c>
      <c r="L230" s="3">
        <v>0.97916666666666663</v>
      </c>
    </row>
    <row r="231" spans="1:12" x14ac:dyDescent="0.25">
      <c r="A231" t="s">
        <v>156</v>
      </c>
      <c r="B231" s="2">
        <v>46252</v>
      </c>
      <c r="C231" t="s">
        <v>21</v>
      </c>
      <c r="D231" t="s">
        <v>159</v>
      </c>
      <c r="E231" s="5">
        <v>140800000</v>
      </c>
      <c r="F231" s="5">
        <v>143800000</v>
      </c>
      <c r="G231" s="5">
        <v>3000000</v>
      </c>
      <c r="H231" s="5">
        <v>14080000</v>
      </c>
      <c r="I231" s="5">
        <v>14380000</v>
      </c>
      <c r="J231" s="5">
        <v>141300000</v>
      </c>
      <c r="K231" s="5">
        <v>144300000</v>
      </c>
      <c r="L231" s="3">
        <v>0.97916666666666663</v>
      </c>
    </row>
    <row r="232" spans="1:12" x14ac:dyDescent="0.25">
      <c r="A232" t="s">
        <v>157</v>
      </c>
      <c r="B232" s="2">
        <v>46253</v>
      </c>
      <c r="C232" t="s">
        <v>22</v>
      </c>
      <c r="D232" t="s">
        <v>159</v>
      </c>
      <c r="E232" s="5">
        <v>139200000</v>
      </c>
      <c r="F232" s="5">
        <v>142200000</v>
      </c>
      <c r="G232" s="5">
        <v>3000000</v>
      </c>
      <c r="H232" s="5">
        <v>13920000</v>
      </c>
      <c r="I232" s="5">
        <v>14220000</v>
      </c>
      <c r="J232" s="5">
        <v>139700000</v>
      </c>
      <c r="K232" s="5">
        <v>142700000</v>
      </c>
      <c r="L232" s="3">
        <v>0.97916666666666663</v>
      </c>
    </row>
    <row r="233" spans="1:12" x14ac:dyDescent="0.25">
      <c r="A233" t="s">
        <v>158</v>
      </c>
      <c r="B233" s="2">
        <v>46254</v>
      </c>
      <c r="C233" t="s">
        <v>16</v>
      </c>
      <c r="D233" t="s">
        <v>159</v>
      </c>
      <c r="E233" s="5">
        <v>142500000</v>
      </c>
      <c r="F233" s="5">
        <v>145500000</v>
      </c>
      <c r="G233" s="5">
        <v>3000000</v>
      </c>
      <c r="H233" s="5">
        <v>14250000</v>
      </c>
      <c r="I233" s="5">
        <v>14550000</v>
      </c>
      <c r="J233" s="5">
        <v>143000000</v>
      </c>
      <c r="K233" s="5">
        <v>146000000</v>
      </c>
      <c r="L233" s="3">
        <v>0.9375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Theo DÃµi Theo Tuáº§n</vt:lpstr>
      <vt:lpstr>PhÃ¢n TÃ­ch Theo ThÃ¡ng</vt:lpstr>
      <vt:lpstr>Dá»¯ Liá»‡u ThÃ´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Luân</dc:creator>
  <cp:lastModifiedBy>Nguyễn Đức Luân</cp:lastModifiedBy>
  <dcterms:created xsi:type="dcterms:W3CDTF">2026-08-23T08:32:45Z</dcterms:created>
  <dcterms:modified xsi:type="dcterms:W3CDTF">2026-08-23T09:18:58Z</dcterms:modified>
</cp:coreProperties>
</file>